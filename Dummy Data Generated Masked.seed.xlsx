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E397EH\Downloads\resource-management-main\"/>
    </mc:Choice>
  </mc:AlternateContent>
  <xr:revisionPtr revIDLastSave="0" documentId="13_ncr:1_{0993E97D-7E1B-43B2-8B5D-CCBAED31AE5A}" xr6:coauthVersionLast="47" xr6:coauthVersionMax="47" xr10:uidLastSave="{00000000-0000-0000-0000-000000000000}"/>
  <bookViews>
    <workbookView xWindow="-28965" yWindow="-165" windowWidth="29130" windowHeight="15810" activeTab="1" xr2:uid="{00000000-000D-0000-FFFF-FFFF00000000}"/>
  </bookViews>
  <sheets>
    <sheet name="Master" sheetId="3" r:id="rId1"/>
    <sheet name="Utilization by Engagement" sheetId="7" r:id="rId2"/>
  </sheets>
  <externalReferences>
    <externalReference r:id="rId3"/>
  </externalReferences>
  <definedNames>
    <definedName name="_xlnm._FilterDatabase" localSheetId="0" hidden="1">Master!$A$1:$AL$2</definedName>
    <definedName name="_xlnm._FilterDatabase" localSheetId="1" hidden="1">'Utilization by Engagement'!$A$1:$M$1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D34" i="7"/>
  <c r="D33" i="7"/>
  <c r="D32" i="7"/>
  <c r="D31" i="7"/>
  <c r="D30" i="7"/>
  <c r="D29" i="7"/>
  <c r="D28" i="7"/>
  <c r="D27" i="7"/>
  <c r="D26" i="7"/>
  <c r="D25" i="7"/>
  <c r="D24" i="7"/>
  <c r="D23" i="7"/>
  <c r="D21" i="7"/>
  <c r="D20" i="7"/>
  <c r="D19" i="7"/>
  <c r="D18" i="7"/>
  <c r="D17" i="7"/>
  <c r="D16" i="7"/>
  <c r="D15" i="7"/>
  <c r="D14" i="7"/>
  <c r="D13" i="7"/>
  <c r="D12" i="7"/>
  <c r="D10" i="7"/>
  <c r="D9" i="7"/>
  <c r="D8" i="7"/>
  <c r="D7" i="7"/>
  <c r="D6" i="7"/>
  <c r="D5" i="7"/>
  <c r="D4" i="7"/>
  <c r="D3" i="7"/>
  <c r="D2" i="7"/>
  <c r="P2" i="3"/>
  <c r="AA2" i="3" l="1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<sst xmlns="http://schemas.openxmlformats.org/spreadsheetml/2006/main" count="102" uniqueCount="100">
  <si>
    <t>Employee name</t>
  </si>
  <si>
    <t>Rank and Grade</t>
  </si>
  <si>
    <t>Bench Category Column</t>
  </si>
  <si>
    <t>6 Weeks Forecast</t>
  </si>
  <si>
    <t>12 Weeks Forecast</t>
  </si>
  <si>
    <t>Current Week Forecast</t>
  </si>
  <si>
    <t>Nationality</t>
  </si>
  <si>
    <t>Previous/Existing Project Roles</t>
  </si>
  <si>
    <t>Primary Skillset (Platform)</t>
  </si>
  <si>
    <t>Secondary Skillset</t>
  </si>
  <si>
    <t>Aspiring roles</t>
  </si>
  <si>
    <t>Current Engagement</t>
  </si>
  <si>
    <t>EM</t>
  </si>
  <si>
    <t>Singaporean</t>
  </si>
  <si>
    <t>Intern (CS) 1</t>
  </si>
  <si>
    <t>Python, MySQL, C++, Javascript, Typescript</t>
  </si>
  <si>
    <t>Singapore Aero Engine Services Private Limited - SAESL S/4HANA Implementation - E-69379635</t>
  </si>
  <si>
    <t>Liu, Vanessa</t>
  </si>
  <si>
    <t>Manager 3</t>
  </si>
  <si>
    <t>Manager 2</t>
  </si>
  <si>
    <t>Coming on bench in 1 week(s)</t>
  </si>
  <si>
    <t>Yes</t>
  </si>
  <si>
    <t>Remarks</t>
  </si>
  <si>
    <t>Gender</t>
  </si>
  <si>
    <t>WC 14 Jul 2026</t>
  </si>
  <si>
    <t>WC 22 Jul 2026</t>
  </si>
  <si>
    <t>WC 29 Jul 2026</t>
  </si>
  <si>
    <t>WC 5 Aug 2026</t>
  </si>
  <si>
    <t>WC 12 Aug 2026</t>
  </si>
  <si>
    <t>WC 19 Aug 2026</t>
  </si>
  <si>
    <t>WC 26 Aug 2026</t>
  </si>
  <si>
    <t>Allocation Remarks</t>
  </si>
  <si>
    <t>Bench/Partial Bench (Profinda)</t>
  </si>
  <si>
    <t>% Availablity (1mth)</t>
  </si>
  <si>
    <t>% Availablity (2mth)</t>
  </si>
  <si>
    <t>% Availablity (3mth)</t>
  </si>
  <si>
    <t>% Availablity (6mth)</t>
  </si>
  <si>
    <t>% Availablity 6mth onwards (Outdated)</t>
  </si>
  <si>
    <t>End date</t>
  </si>
  <si>
    <t>Combined Bucket Skillset</t>
  </si>
  <si>
    <t>Data Engineering</t>
  </si>
  <si>
    <t>Data Architecture</t>
  </si>
  <si>
    <t>Business Intelligence &amp; Analytics</t>
  </si>
  <si>
    <t>Artificial Intelligence (AI) &amp; Machine Learning</t>
  </si>
  <si>
    <t>Data Governance &amp; Quality</t>
  </si>
  <si>
    <t>Data Security &amp; Privacy</t>
  </si>
  <si>
    <t>Data Strategy &amp; Management</t>
  </si>
  <si>
    <t>Cloud Data Platforms &amp; Operations</t>
  </si>
  <si>
    <t>Male</t>
  </si>
  <si>
    <t>May - Aug 2027 SAESL 
May - Aug 2026 - SAESL 100%
Internship until 7 Aug</t>
  </si>
  <si>
    <t xml:space="preserve">100%
</t>
  </si>
  <si>
    <t>Tech Consultant</t>
  </si>
  <si>
    <t>Python
PyTorch, Scikit-learn, SHAP, Model Optimization, Feature Engineering</t>
  </si>
  <si>
    <t>AI/ML Ops
Software Developer / AI Engineer</t>
  </si>
  <si>
    <t>Project</t>
  </si>
  <si>
    <t>Engagement Manager</t>
  </si>
  <si>
    <t>Resource</t>
  </si>
  <si>
    <t>Current Grade</t>
  </si>
  <si>
    <t>Start Date</t>
  </si>
  <si>
    <t>End Date</t>
  </si>
  <si>
    <t>Utilization %</t>
  </si>
  <si>
    <r>
      <t xml:space="preserve">Unique Resources Count: </t>
    </r>
    <r>
      <rPr>
        <b/>
        <sz val="11"/>
        <rFont val="Aptos Narrow"/>
        <family val="2"/>
      </rPr>
      <t>57</t>
    </r>
  </si>
  <si>
    <t>Pokka</t>
  </si>
  <si>
    <t>person1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</si>
  <si>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</si>
  <si>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</si>
  <si>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</si>
  <si>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</si>
  <si>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</si>
  <si>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</si>
  <si>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</si>
  <si>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</si>
  <si>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</si>
  <si>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person 11</t>
  </si>
  <si>
    <t>person 12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</si>
  <si>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</si>
  <si>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</si>
  <si>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</si>
  <si>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</si>
  <si>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</si>
  <si>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</si>
  <si>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</si>
  <si>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</si>
  <si>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person 21</t>
  </si>
  <si>
    <t>person 22</t>
  </si>
  <si>
    <t>person 23</t>
  </si>
  <si>
    <t>person 24</t>
  </si>
  <si>
    <t>person 25</t>
  </si>
  <si>
    <t>person 26</t>
  </si>
  <si>
    <t>person 27</t>
  </si>
  <si>
    <t>person 28</t>
  </si>
  <si>
    <t>person 29</t>
  </si>
  <si>
    <t>person 30</t>
  </si>
  <si>
    <t>person 31</t>
  </si>
  <si>
    <t>person 32</t>
  </si>
  <si>
    <t>person 33</t>
  </si>
  <si>
    <t>Pokkatea</t>
  </si>
  <si>
    <t>Masked2</t>
  </si>
  <si>
    <t>Masked3</t>
  </si>
  <si>
    <t>Manager1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</si>
</sst>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5" formatCode="0%;\-0%;0%"/>
  </numFmts>
  <fonts count="7" x14ac:knownFonts="1">
    <font>
      <sz val="11"/>
      <name val="Aptos Narrow"/>
    </font>
    <font>
      <b/>
      <sz val="11"/>
      <color rgb="FFFFFF0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  <font>
      <sz val="11"/>
      <color rgb="FFFF0000"/>
      <name val="Aptos Narrow"/>
      <family val="2"/>
    </font>
    <font>
      <sz val="8"/>
      <name val="Aptos Narrow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4" borderId="1" xfId="1" applyFont="1" applyFill="1" applyBorder="1" applyAlignment="1">
      <alignment horizontal="center" vertical="top" wrapText="1"/>
    </xf>
    <xf numFmtId="0" fontId="3" fillId="5" borderId="1" xfId="1" applyFont="1" applyFill="1" applyBorder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165" fontId="0" fillId="0" borderId="0" xfId="0" applyNumberFormat="1"/>
    <xf numFmtId="0" fontId="0" fillId="0" borderId="0" xfId="1" applyFont="1"/>
    <xf numFmtId="0" fontId="0" fillId="0" borderId="0" xfId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1" applyAlignment="1">
      <alignment wrapText="1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4" fontId="0" fillId="0" borderId="0" xfId="1" applyNumberFormat="1" applyFont="1" applyAlignment="1">
      <alignment horizontal="center" vertical="top" wrapText="1"/>
    </xf>
    <xf numFmtId="0" fontId="0" fillId="0" borderId="0" xfId="1" applyFont="1" applyAlignment="1">
      <alignment horizontal="left" vertical="top" wrapText="1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 applyAlignment="1">
      <alignment horizontal="center"/>
    </xf>
    <xf numFmtId="0" fontId="0" fillId="0" borderId="3" xfId="0" applyBorder="1"/>
    <xf numFmtId="0" fontId="0" fillId="0" borderId="9" xfId="0" applyBorder="1"/>
    <xf numFmtId="0" fontId="3" fillId="8" borderId="0" xfId="1" applyFont="1" applyFill="1" applyAlignment="1">
      <alignment horizontal="center" vertical="top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9" borderId="1" xfId="1" applyFont="1" applyFill="1" applyBorder="1" applyAlignment="1">
      <alignment horizontal="center" vertical="top" wrapText="1"/>
    </xf>
    <xf numFmtId="0" fontId="3" fillId="9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15" fontId="0" fillId="0" borderId="6" xfId="0" applyNumberFormat="1" applyBorder="1" applyAlignment="1">
      <alignment horizontal="center"/>
    </xf>
    <xf numFmtId="0" fontId="0" fillId="0" borderId="0" xfId="0" applyAlignment="1">
      <alignment horizontal="left" vertical="top"/>
    </xf>
    <xf numFmtId="0" fontId="3" fillId="4" borderId="1" xfId="1" applyFont="1" applyFill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4" fillId="7" borderId="10" xfId="0" applyNumberFormat="1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/>
    </xf>
    <xf numFmtId="0" fontId="2" fillId="0" borderId="7" xfId="0" applyFont="1" applyBorder="1"/>
    <xf numFmtId="165" fontId="0" fillId="0" borderId="0" xfId="0" applyNumberFormat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wrapText="1"/>
    </xf>
    <xf numFmtId="0" fontId="5" fillId="0" borderId="2" xfId="0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5" fillId="0" borderId="8" xfId="0" applyFont="1" applyBorder="1"/>
    <xf numFmtId="17" fontId="0" fillId="0" borderId="0" xfId="0" applyNumberFormat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9" fontId="5" fillId="0" borderId="6" xfId="0" applyNumberFormat="1" applyFont="1" applyBorder="1" applyAlignment="1">
      <alignment horizontal="center"/>
    </xf>
    <xf numFmtId="0" fontId="5" fillId="0" borderId="7" xfId="0" applyFont="1" applyBorder="1"/>
    <xf numFmtId="9" fontId="5" fillId="0" borderId="3" xfId="0" applyNumberFormat="1" applyFont="1" applyBorder="1" applyAlignment="1">
      <alignment horizontal="center"/>
    </xf>
    <xf numFmtId="0" fontId="5" fillId="0" borderId="8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5" fontId="0" fillId="6" borderId="2" xfId="0" applyNumberFormat="1" applyFill="1" applyBorder="1" applyAlignment="1">
      <alignment horizontal="center"/>
    </xf>
    <xf numFmtId="15" fontId="5" fillId="0" borderId="3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2" xfId="1" xr:uid="{9E222776-3905-40E5-83CB-1BF8E8B9440B}"/>
  </cellStyles>
  <dxfs count="4">
    <dxf>
      <font>
        <color theme="1"/>
      </font>
      <fill>
        <patternFill>
          <bgColor theme="9" tint="0.59996337778862885"/>
        </patternFill>
      </fill>
    </dxf>
    <dxf>
      <font>
        <color theme="1"/>
      </font>
      <fill>
        <patternFill>
          <bgColor theme="4" tint="0.79998168889431442"/>
        </patternFill>
      </fill>
    </dxf>
    <dxf>
      <font>
        <color theme="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ople.ey.com/personal/john_koh_sg_ey_com/Documents/Resource%20Management/AI%20Data%20-%20FY26%20Utilisation%20Summary.xlsx" TargetMode="External"/><Relationship Id="rId1" Type="http://schemas.openxmlformats.org/officeDocument/2006/relationships/externalLinkPath" Target="https://people.ey.com/personal/john_koh_sg_ey_com/Documents/Resource%20Management/AI%20Data%20-%20FY26%20Utilisation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ail1"/>
      <sheetName val="Export"/>
      <sheetName val="Summary - FY26 Utilization"/>
      <sheetName val="FY26-YTD Utilization"/>
    </sheetNames>
    <sheetDataSet>
      <sheetData sheetId="0"/>
      <sheetData sheetId="1"/>
      <sheetData sheetId="2">
        <row r="1">
          <cell r="E1" t="str">
            <v>Pecentage</v>
          </cell>
        </row>
        <row r="2">
          <cell r="C2" t="str">
            <v>100% Chargeability</v>
          </cell>
          <cell r="E2">
            <v>0.234375</v>
          </cell>
        </row>
        <row r="3">
          <cell r="C3" t="str">
            <v>&gt;90% Chargeability</v>
          </cell>
          <cell r="E3">
            <v>0.265625</v>
          </cell>
        </row>
        <row r="4">
          <cell r="C4" t="str">
            <v>70-90% Chargeability</v>
          </cell>
          <cell r="E4">
            <v>0.21875</v>
          </cell>
        </row>
        <row r="5">
          <cell r="C5" t="str">
            <v>&lt; 70% Chergeability</v>
          </cell>
          <cell r="E5">
            <v>0.28125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9E3E-569E-4605-BE85-75AC964D163F}">
  <sheetPr codeName="Sheet2"/>
  <dimension ref="A1:AL127"/>
  <sheetViews>
    <sheetView zoomScale="76" zoomScaleNormal="100" workbookViewId="0">
      <pane xSplit="1" ySplit="1" topLeftCell="B2" activePane="bottomRight" state="frozen"/>
      <selection activeCell="E360" sqref="C316:E360"/>
      <selection pane="topRight" activeCell="E360" sqref="C316:E360"/>
      <selection pane="bottomLeft" activeCell="E360" sqref="C316:E360"/>
      <selection pane="bottomRight" activeCell="A2" sqref="A2"/>
    </sheetView>
  </sheetViews>
  <sheetFormatPr defaultColWidth="8.7265625" defaultRowHeight="43.5" customHeight="1" x14ac:dyDescent="0.35"/>
  <cols>
    <col min="1" max="1" width="29.453125" customWidth="1"/>
    <col min="2" max="2" width="7.453125" bestFit="1" customWidth="1"/>
    <col min="3" max="3" width="21.81640625" customWidth="1"/>
    <col min="4" max="4" width="28.1796875" customWidth="1"/>
    <col min="5" max="5" width="9.81640625" customWidth="1"/>
    <col min="6" max="6" width="10.81640625" customWidth="1"/>
    <col min="7" max="7" width="11.54296875" customWidth="1"/>
    <col min="8" max="12" width="8.7265625" customWidth="1"/>
    <col min="13" max="13" width="7.7265625" customWidth="1"/>
    <col min="14" max="14" width="7.54296875" customWidth="1"/>
    <col min="15" max="15" width="34.54296875" style="37" customWidth="1"/>
    <col min="16" max="16" width="34.54296875" customWidth="1"/>
    <col min="17" max="20" width="34.54296875" style="16" customWidth="1"/>
    <col min="21" max="21" width="31.54296875" style="17" bestFit="1" customWidth="1"/>
    <col min="22" max="22" width="12.54296875" style="17" bestFit="1" customWidth="1"/>
    <col min="23" max="23" width="33" customWidth="1"/>
    <col min="24" max="24" width="11.7265625" customWidth="1"/>
    <col min="25" max="25" width="29.81640625" customWidth="1"/>
    <col min="26" max="27" width="64.26953125" customWidth="1"/>
    <col min="28" max="28" width="15.453125" hidden="1" customWidth="1"/>
    <col min="29" max="29" width="15.7265625" hidden="1" customWidth="1"/>
    <col min="30" max="30" width="29.26953125" hidden="1" customWidth="1"/>
    <col min="31" max="31" width="39.1796875" hidden="1" customWidth="1"/>
    <col min="32" max="32" width="23.81640625" hidden="1" customWidth="1"/>
    <col min="33" max="33" width="20.453125" hidden="1" customWidth="1"/>
    <col min="34" max="34" width="25.453125" hidden="1" customWidth="1"/>
    <col min="35" max="35" width="30.7265625" hidden="1" customWidth="1"/>
    <col min="36" max="36" width="43.7265625" customWidth="1"/>
    <col min="37" max="37" width="79.54296875" bestFit="1" customWidth="1"/>
    <col min="38" max="38" width="27" customWidth="1"/>
  </cols>
  <sheetData>
    <row r="1" spans="1:38" s="2" customFormat="1" ht="43.5" customHeight="1" x14ac:dyDescent="0.35">
      <c r="A1" s="3" t="s">
        <v>0</v>
      </c>
      <c r="B1" s="3" t="s">
        <v>23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8" t="s">
        <v>31</v>
      </c>
      <c r="P1" s="4" t="s">
        <v>32</v>
      </c>
      <c r="Q1" s="32" t="s">
        <v>33</v>
      </c>
      <c r="R1" s="32" t="s">
        <v>34</v>
      </c>
      <c r="S1" s="32" t="s">
        <v>35</v>
      </c>
      <c r="T1" s="32" t="s">
        <v>36</v>
      </c>
      <c r="U1" s="31" t="s">
        <v>37</v>
      </c>
      <c r="V1" s="4" t="s">
        <v>38</v>
      </c>
      <c r="W1" s="5" t="s">
        <v>6</v>
      </c>
      <c r="X1" s="5" t="s">
        <v>7</v>
      </c>
      <c r="Y1" s="5" t="s">
        <v>8</v>
      </c>
      <c r="Z1" s="6" t="s">
        <v>9</v>
      </c>
      <c r="AA1" s="6" t="s">
        <v>39</v>
      </c>
      <c r="AB1" s="26" t="s">
        <v>40</v>
      </c>
      <c r="AC1" s="26" t="s">
        <v>41</v>
      </c>
      <c r="AD1" s="26" t="s">
        <v>42</v>
      </c>
      <c r="AE1" s="26" t="s">
        <v>43</v>
      </c>
      <c r="AF1" s="26" t="s">
        <v>44</v>
      </c>
      <c r="AG1" s="26" t="s">
        <v>45</v>
      </c>
      <c r="AH1" s="26" t="s">
        <v>46</v>
      </c>
      <c r="AI1" s="26" t="s">
        <v>47</v>
      </c>
      <c r="AJ1" s="5" t="s">
        <v>10</v>
      </c>
      <c r="AK1" s="7" t="s">
        <v>11</v>
      </c>
      <c r="AL1" s="7" t="s">
        <v>12</v>
      </c>
    </row>
    <row r="2" spans="1:38" ht="43.5" customHeight="1" x14ac:dyDescent="0.35">
      <c r="A2" t="s">
        <v>62</v>
      </c>
      <c r="B2" t="s">
        <v>48</v>
      </c>
      <c r="C2" t="s">
        <v>14</v>
      </c>
      <c r="D2" t="s">
        <v>20</v>
      </c>
      <c r="E2" s="8">
        <v>0</v>
      </c>
      <c r="F2" s="8">
        <v>0</v>
      </c>
      <c r="G2" s="8">
        <v>1.0350900000000001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33" t="s">
        <v>49</v>
      </c>
      <c r="P2" s="2" t="str">
        <f t="shared" ref="P2" si="0">IF($G2&gt;=100%,"NA",IF(G2=0%,"Bench","Partial Bench"))</f>
        <v>NA</v>
      </c>
      <c r="Q2" s="45">
        <v>0</v>
      </c>
      <c r="R2" s="45">
        <v>0</v>
      </c>
      <c r="S2" s="45">
        <v>0</v>
      </c>
      <c r="T2" s="45">
        <v>0</v>
      </c>
      <c r="U2" s="15" t="s">
        <v>50</v>
      </c>
      <c r="V2" s="18">
        <v>46211</v>
      </c>
      <c r="W2" t="s">
        <v>13</v>
      </c>
      <c r="X2" t="s">
        <v>51</v>
      </c>
      <c r="Y2" s="9" t="s">
        <v>15</v>
      </c>
      <c r="Z2" s="10" t="s">
        <v>52</v>
      </c>
      <c r="AA2" s="19" t="str" cm="1">
        <f t="array" ref="AA2">_xlfn.TEXTJOIN(", ",TRUE,_xlfn._xlws.FILTER($AB$1:$AI$1,$AB2:$AI2="Yes"))</f>
        <v>Data Engineering, Business Intelligence &amp; Analytics, Artificial Intelligence (AI) &amp; Machine Learning</v>
      </c>
      <c r="AB2" s="13" t="s">
        <v>21</v>
      </c>
      <c r="AC2" s="10"/>
      <c r="AD2" s="13" t="s">
        <v>21</v>
      </c>
      <c r="AE2" s="13" t="s">
        <v>21</v>
      </c>
      <c r="AF2" s="10"/>
      <c r="AG2" s="10"/>
      <c r="AH2" s="10"/>
      <c r="AI2" s="10"/>
      <c r="AJ2" s="11" t="s">
        <v>53</v>
      </c>
      <c r="AK2" s="9" t="s">
        <v>16</v>
      </c>
      <c r="AL2" t="s">
        <v>17</v>
      </c>
    </row>
    <row r="3" spans="1:38" ht="43.5" customHeight="1" x14ac:dyDescent="0.35">
      <c r="E3" s="1"/>
      <c r="F3" s="1"/>
      <c r="G3" s="1"/>
      <c r="H3" s="1"/>
      <c r="I3" s="1"/>
      <c r="J3" s="1"/>
      <c r="K3" s="1"/>
      <c r="L3" s="1"/>
      <c r="M3" s="1"/>
      <c r="N3" s="1"/>
    </row>
    <row r="4" spans="1:38" ht="43.5" customHeight="1" x14ac:dyDescent="0.35">
      <c r="E4" s="1"/>
      <c r="F4" s="1"/>
      <c r="G4" s="1"/>
      <c r="H4" s="1"/>
      <c r="I4" s="1"/>
      <c r="J4" s="1"/>
      <c r="K4" s="1"/>
      <c r="L4" s="1"/>
      <c r="M4" s="1"/>
      <c r="N4" s="1"/>
    </row>
    <row r="5" spans="1:38" ht="43.5" customHeight="1" x14ac:dyDescent="0.35">
      <c r="E5" s="1"/>
      <c r="F5" s="1"/>
      <c r="G5" s="1"/>
      <c r="H5" s="1"/>
      <c r="I5" s="1"/>
      <c r="J5" s="1"/>
      <c r="K5" s="1"/>
      <c r="L5" s="1"/>
      <c r="M5" s="1"/>
      <c r="N5" s="1"/>
    </row>
    <row r="6" spans="1:38" ht="43.5" customHeight="1" x14ac:dyDescent="0.35">
      <c r="E6" s="1"/>
      <c r="F6" s="1"/>
      <c r="G6" s="1"/>
      <c r="H6" s="1"/>
      <c r="I6" s="1"/>
      <c r="J6" s="1"/>
      <c r="K6" s="1"/>
      <c r="L6" s="1"/>
      <c r="M6" s="1"/>
      <c r="N6" s="1"/>
    </row>
    <row r="7" spans="1:38" ht="43.5" customHeight="1" x14ac:dyDescent="0.35">
      <c r="E7" s="1"/>
      <c r="F7" s="1"/>
      <c r="G7" s="1"/>
      <c r="H7" s="1"/>
      <c r="I7" s="1"/>
      <c r="J7" s="1"/>
      <c r="K7" s="1"/>
      <c r="L7" s="1"/>
      <c r="M7" s="1"/>
      <c r="N7" s="1"/>
    </row>
    <row r="8" spans="1:38" ht="43.5" customHeight="1" x14ac:dyDescent="0.35">
      <c r="E8" s="1"/>
      <c r="F8" s="1"/>
      <c r="G8" s="1"/>
      <c r="H8" s="1"/>
      <c r="I8" s="1"/>
      <c r="J8" s="1"/>
      <c r="K8" s="1"/>
      <c r="L8" s="1"/>
      <c r="M8" s="1"/>
      <c r="N8" s="1"/>
    </row>
    <row r="9" spans="1:38" ht="43.5" customHeight="1" x14ac:dyDescent="0.35">
      <c r="E9" s="1"/>
      <c r="F9" s="1"/>
      <c r="G9" s="1"/>
      <c r="H9" s="1"/>
      <c r="I9" s="1"/>
      <c r="J9" s="1"/>
      <c r="K9" s="1"/>
      <c r="L9" s="1"/>
      <c r="M9" s="1"/>
      <c r="N9" s="1"/>
    </row>
    <row r="10" spans="1:38" ht="43.5" customHeight="1" x14ac:dyDescent="0.35"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38" ht="43.5" customHeight="1" x14ac:dyDescent="0.35"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38" ht="43.5" customHeight="1" x14ac:dyDescent="0.35"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38" ht="43.5" customHeight="1" x14ac:dyDescent="0.35"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38" ht="43.5" customHeight="1" x14ac:dyDescent="0.35"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38" ht="43.5" customHeight="1" x14ac:dyDescent="0.35"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38" ht="43.5" customHeight="1" x14ac:dyDescent="0.35"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5:14" ht="43.5" customHeight="1" x14ac:dyDescent="0.35"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5:14" ht="43.5" customHeight="1" x14ac:dyDescent="0.35"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5:14" ht="43.5" customHeight="1" x14ac:dyDescent="0.35"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5:14" ht="43.5" customHeight="1" x14ac:dyDescent="0.35"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5:14" ht="43.5" customHeight="1" x14ac:dyDescent="0.35"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5:14" ht="43.5" customHeight="1" x14ac:dyDescent="0.35"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5:14" ht="43.5" customHeight="1" x14ac:dyDescent="0.35"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5:14" ht="43.5" customHeight="1" x14ac:dyDescent="0.35"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5:14" ht="43.5" customHeight="1" x14ac:dyDescent="0.35"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5:14" ht="43.5" customHeight="1" x14ac:dyDescent="0.35"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5:14" ht="43.5" customHeight="1" x14ac:dyDescent="0.35"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5:14" ht="43.5" customHeight="1" x14ac:dyDescent="0.35"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5:14" ht="43.5" customHeight="1" x14ac:dyDescent="0.35"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5:14" ht="43.5" customHeight="1" x14ac:dyDescent="0.35"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5:14" ht="43.5" customHeight="1" x14ac:dyDescent="0.35"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5:14" ht="43.5" customHeight="1" x14ac:dyDescent="0.35"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5:14" ht="43.5" customHeight="1" x14ac:dyDescent="0.35"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5:14" ht="43.5" customHeight="1" x14ac:dyDescent="0.35"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5:14" ht="43.5" customHeight="1" x14ac:dyDescent="0.35"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5:14" ht="43.5" customHeight="1" x14ac:dyDescent="0.35"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5:14" ht="43.5" customHeight="1" x14ac:dyDescent="0.35"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5:14" ht="43.5" customHeight="1" x14ac:dyDescent="0.35"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5:14" ht="43.5" customHeight="1" x14ac:dyDescent="0.35"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5:14" ht="43.5" customHeight="1" x14ac:dyDescent="0.35"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5:14" ht="43.5" customHeight="1" x14ac:dyDescent="0.35"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5:14" ht="43.5" customHeight="1" x14ac:dyDescent="0.35"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5:14" ht="43.5" customHeight="1" x14ac:dyDescent="0.35"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5:14" ht="43.5" customHeight="1" x14ac:dyDescent="0.35"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5:14" ht="43.5" customHeight="1" x14ac:dyDescent="0.35"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5:14" ht="43.5" customHeight="1" x14ac:dyDescent="0.35"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5:14" ht="43.5" customHeight="1" x14ac:dyDescent="0.35"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5:14" ht="43.5" customHeight="1" x14ac:dyDescent="0.35"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5:14" ht="43.5" customHeight="1" x14ac:dyDescent="0.35"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5:14" ht="43.5" customHeight="1" x14ac:dyDescent="0.35"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5:14" ht="43.5" customHeight="1" x14ac:dyDescent="0.35"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5:14" ht="43.5" customHeight="1" x14ac:dyDescent="0.35"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5:14" ht="43.5" customHeight="1" x14ac:dyDescent="0.35"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5:14" ht="43.5" customHeight="1" x14ac:dyDescent="0.35"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5:14" ht="43.5" customHeight="1" x14ac:dyDescent="0.35"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5:14" ht="43.5" customHeight="1" x14ac:dyDescent="0.35"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5:14" ht="43.5" customHeight="1" x14ac:dyDescent="0.35"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5:14" ht="43.5" customHeight="1" x14ac:dyDescent="0.35"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5:14" ht="43.5" customHeight="1" x14ac:dyDescent="0.35"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5:14" ht="43.5" customHeight="1" x14ac:dyDescent="0.35"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5:14" ht="43.5" customHeight="1" x14ac:dyDescent="0.35"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5:14" ht="43.5" customHeight="1" x14ac:dyDescent="0.35"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5:14" ht="43.5" customHeight="1" x14ac:dyDescent="0.35"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5:14" ht="43.5" customHeight="1" x14ac:dyDescent="0.35"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5:14" ht="43.5" customHeight="1" x14ac:dyDescent="0.35"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5:14" ht="43.5" customHeight="1" x14ac:dyDescent="0.35"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5:14" ht="43.5" customHeight="1" x14ac:dyDescent="0.35"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5:14" ht="43.5" customHeight="1" x14ac:dyDescent="0.35"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5:14" ht="43.5" customHeight="1" x14ac:dyDescent="0.35"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5:14" ht="43.5" customHeight="1" x14ac:dyDescent="0.35"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5:14" ht="43.5" customHeight="1" x14ac:dyDescent="0.35"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5:14" ht="43.5" customHeight="1" x14ac:dyDescent="0.35"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5:14" ht="43.5" customHeight="1" x14ac:dyDescent="0.35"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5:14" ht="43.5" customHeight="1" x14ac:dyDescent="0.35"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5:14" ht="43.5" customHeight="1" x14ac:dyDescent="0.35"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5:14" ht="43.5" customHeight="1" x14ac:dyDescent="0.35"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5:14" ht="43.5" customHeight="1" x14ac:dyDescent="0.35"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5:14" ht="43.5" customHeight="1" x14ac:dyDescent="0.35"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5:14" ht="43.5" customHeight="1" x14ac:dyDescent="0.35"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5:14" ht="43.5" customHeight="1" x14ac:dyDescent="0.35"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5:14" ht="43.5" customHeight="1" x14ac:dyDescent="0.35"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5:14" ht="43.5" customHeight="1" x14ac:dyDescent="0.35"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5:14" ht="43.5" customHeight="1" x14ac:dyDescent="0.35"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5:14" ht="43.5" customHeight="1" x14ac:dyDescent="0.35"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5:14" ht="43.5" customHeight="1" x14ac:dyDescent="0.35"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5:14" ht="43.5" customHeight="1" x14ac:dyDescent="0.35"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5:14" ht="43.5" customHeight="1" x14ac:dyDescent="0.35"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5:14" ht="43.5" customHeight="1" x14ac:dyDescent="0.35"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5:14" ht="43.5" customHeight="1" x14ac:dyDescent="0.35"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5:14" ht="43.5" customHeight="1" x14ac:dyDescent="0.35"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5:14" ht="43.5" customHeight="1" x14ac:dyDescent="0.35"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5:14" ht="43.5" customHeight="1" x14ac:dyDescent="0.35"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5:14" ht="43.5" customHeight="1" x14ac:dyDescent="0.35"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5:14" ht="43.5" customHeight="1" x14ac:dyDescent="0.35"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5:14" ht="43.5" customHeight="1" x14ac:dyDescent="0.35"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5:14" ht="43.5" customHeight="1" x14ac:dyDescent="0.35"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5:14" ht="43.5" customHeight="1" x14ac:dyDescent="0.35"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5:14" ht="43.5" customHeight="1" x14ac:dyDescent="0.35"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5:14" ht="43.5" customHeight="1" x14ac:dyDescent="0.35"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5:14" ht="43.5" customHeight="1" x14ac:dyDescent="0.35"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5:14" ht="43.5" customHeight="1" x14ac:dyDescent="0.35"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5:14" ht="43.5" customHeight="1" x14ac:dyDescent="0.35"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5:14" ht="43.5" customHeight="1" x14ac:dyDescent="0.35"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5:14" ht="43.5" customHeight="1" x14ac:dyDescent="0.35"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5:14" ht="43.5" customHeight="1" x14ac:dyDescent="0.35"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5:14" ht="43.5" customHeight="1" x14ac:dyDescent="0.35"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5:14" ht="43.5" customHeight="1" x14ac:dyDescent="0.35"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5:14" ht="43.5" customHeight="1" x14ac:dyDescent="0.35"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5:14" ht="43.5" customHeight="1" x14ac:dyDescent="0.35"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5:14" ht="43.5" customHeight="1" x14ac:dyDescent="0.35"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5:14" ht="43.5" customHeight="1" x14ac:dyDescent="0.35"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5:14" ht="43.5" customHeight="1" x14ac:dyDescent="0.35"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5:14" ht="43.5" customHeight="1" x14ac:dyDescent="0.35"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5:14" ht="43.5" customHeight="1" x14ac:dyDescent="0.35"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5:14" ht="43.5" customHeight="1" x14ac:dyDescent="0.35"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5:14" ht="43.5" customHeight="1" x14ac:dyDescent="0.35"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5:14" ht="43.5" customHeight="1" x14ac:dyDescent="0.35"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5:14" ht="43.5" customHeight="1" x14ac:dyDescent="0.35"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5:14" ht="43.5" customHeight="1" x14ac:dyDescent="0.35"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5:14" ht="43.5" customHeight="1" x14ac:dyDescent="0.35"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5:14" ht="43.5" customHeight="1" x14ac:dyDescent="0.35"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5:14" ht="43.5" customHeight="1" x14ac:dyDescent="0.35"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5:14" ht="43.5" customHeight="1" x14ac:dyDescent="0.35"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5:14" ht="43.5" customHeight="1" x14ac:dyDescent="0.35"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5:14" ht="43.5" customHeight="1" x14ac:dyDescent="0.35"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5:14" ht="43.5" customHeight="1" x14ac:dyDescent="0.35"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5:14" ht="43.5" customHeight="1" x14ac:dyDescent="0.35">
      <c r="E127" s="1"/>
      <c r="F127" s="1"/>
      <c r="G127" s="1"/>
      <c r="H127" s="1"/>
      <c r="I127" s="1"/>
      <c r="J127" s="1"/>
      <c r="K127" s="1"/>
      <c r="L127" s="1"/>
      <c r="M127" s="1"/>
      <c r="N127" s="1"/>
    </row>
  </sheetData>
  <autoFilter ref="A1:AL2" xr:uid="{D2CB9E3E-569E-4605-BE85-75AC964D163F}"/>
  <conditionalFormatting sqref="E2:N2">
    <cfRule type="cellIs" dxfId="3" priority="5" operator="lessThan">
      <formula>0.29</formula>
    </cfRule>
    <cfRule type="cellIs" dxfId="2" priority="6" operator="between">
      <formula>0.3</formula>
      <formula>0.8999</formula>
    </cfRule>
    <cfRule type="cellIs" dxfId="1" priority="7" stopIfTrue="1" operator="between">
      <formula>0.7</formula>
      <formula>0.8</formula>
    </cfRule>
    <cfRule type="cellIs" dxfId="0" priority="8" operator="greaterThanOrEqual">
      <formula>0.9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03F5-FFA6-4F73-8E90-F7CC91B8B394}">
  <dimension ref="A1:M82"/>
  <sheetViews>
    <sheetView showGridLines="0" tabSelected="1" zoomScale="88" zoomScaleNormal="100" workbookViewId="0">
      <pane ySplit="1" topLeftCell="A2" activePane="bottomLeft" state="frozen"/>
      <selection activeCell="E360" sqref="C316:E360"/>
      <selection pane="bottomLeft" activeCell="H4" sqref="H4:H5"/>
    </sheetView>
  </sheetViews>
  <sheetFormatPr defaultRowHeight="14.5" x14ac:dyDescent="0.35"/>
  <cols>
    <col min="1" max="1" width="15.7265625" bestFit="1" customWidth="1"/>
    <col min="2" max="2" width="18.453125" bestFit="1" customWidth="1"/>
    <col min="3" max="3" width="23.1796875" bestFit="1" customWidth="1"/>
    <col min="4" max="4" width="23.1796875" style="15" customWidth="1"/>
    <col min="5" max="6" width="18" style="15" customWidth="1"/>
    <col min="7" max="7" width="18" style="23" customWidth="1"/>
    <col min="8" max="8" width="44.1796875" bestFit="1" customWidth="1"/>
    <col min="10" max="10" width="21.54296875" bestFit="1" customWidth="1"/>
    <col min="11" max="11" width="33.453125" bestFit="1" customWidth="1"/>
    <col min="12" max="12" width="4.453125" bestFit="1" customWidth="1"/>
    <col min="13" max="13" width="5.453125" bestFit="1" customWidth="1"/>
  </cols>
  <sheetData>
    <row r="1" spans="1:13" ht="31" customHeight="1" thickBot="1" x14ac:dyDescent="0.4">
      <c r="A1" s="27" t="s">
        <v>54</v>
      </c>
      <c r="B1" s="28" t="s">
        <v>55</v>
      </c>
      <c r="C1" s="28" t="s">
        <v>56</v>
      </c>
      <c r="D1" s="28" t="s">
        <v>57</v>
      </c>
      <c r="E1" s="28" t="s">
        <v>58</v>
      </c>
      <c r="F1" s="28" t="s">
        <v>59</v>
      </c>
      <c r="G1" s="42" t="s">
        <v>60</v>
      </c>
      <c r="H1" s="29" t="s">
        <v>22</v>
      </c>
    </row>
    <row r="2" spans="1:13" x14ac:dyDescent="0.35">
      <c r="A2" s="68" t="s">
        <v>96</v>
      </c>
      <c r="B2" s="70" t="s">
        <v>99</v>
      </c>
      <c r="C2" s="53" t="s">
        <v>63</v>
      </c>
      <c r="D2" s="54" t="e">
        <f>VLOOKUP(C2,Master!A:C,3,0)</f>
        <v>#N/A</v>
      </c>
      <c r="E2" s="54"/>
      <c r="F2" s="55">
        <v>46265</v>
      </c>
      <c r="G2" s="56">
        <v>0.3</v>
      </c>
      <c r="H2" s="44"/>
      <c r="M2" s="14"/>
    </row>
    <row r="3" spans="1:13" x14ac:dyDescent="0.35">
      <c r="A3" s="65"/>
      <c r="B3" s="71"/>
      <c r="C3" s="20" t="s">
        <v>64</v>
      </c>
      <c r="D3" s="30" t="e">
        <f>VLOOKUP(C3,Master!A:C,3,0)</f>
        <v>#N/A</v>
      </c>
      <c r="E3" s="30"/>
      <c r="F3" s="39">
        <v>46507</v>
      </c>
      <c r="G3" s="40">
        <v>1</v>
      </c>
      <c r="H3" s="22"/>
      <c r="M3" s="14"/>
    </row>
    <row r="4" spans="1:13" x14ac:dyDescent="0.35">
      <c r="A4" s="65"/>
      <c r="B4" s="71"/>
      <c r="C4" s="20" t="s">
        <v>65</v>
      </c>
      <c r="D4" s="30" t="e">
        <f>VLOOKUP(C4,Master!A:C,3,0)</f>
        <v>#N/A</v>
      </c>
      <c r="E4" s="30"/>
      <c r="F4" s="39">
        <v>46507</v>
      </c>
      <c r="G4" s="40">
        <v>1</v>
      </c>
      <c r="H4" s="22"/>
    </row>
    <row r="5" spans="1:13" x14ac:dyDescent="0.35">
      <c r="A5" s="65"/>
      <c r="B5" s="71"/>
      <c r="C5" s="20" t="s">
        <v>66</v>
      </c>
      <c r="D5" s="30" t="e">
        <f>VLOOKUP(C5,Master!A:C,3,0)</f>
        <v>#N/A</v>
      </c>
      <c r="E5" s="30"/>
      <c r="F5" s="39">
        <v>46325</v>
      </c>
      <c r="G5" s="40">
        <v>1</v>
      </c>
      <c r="H5" s="22"/>
    </row>
    <row r="6" spans="1:13" x14ac:dyDescent="0.35">
      <c r="A6" s="65"/>
      <c r="B6" s="71"/>
      <c r="C6" s="20" t="s">
        <v>67</v>
      </c>
      <c r="D6" s="30" t="e">
        <f>VLOOKUP(C6,Master!A:C,3,0)</f>
        <v>#N/A</v>
      </c>
      <c r="E6" s="30"/>
      <c r="F6" s="39">
        <v>46507</v>
      </c>
      <c r="G6" s="40">
        <v>1</v>
      </c>
      <c r="H6" s="22"/>
    </row>
    <row r="7" spans="1:13" x14ac:dyDescent="0.35">
      <c r="A7" s="65"/>
      <c r="B7" s="71"/>
      <c r="C7" s="20" t="s">
        <v>68</v>
      </c>
      <c r="D7" s="30" t="e">
        <f>VLOOKUP(C7,Master!A:C,3,0)</f>
        <v>#N/A</v>
      </c>
      <c r="E7" s="30"/>
      <c r="F7" s="39">
        <v>46568</v>
      </c>
      <c r="G7" s="40">
        <v>1</v>
      </c>
      <c r="H7" s="22"/>
    </row>
    <row r="8" spans="1:13" x14ac:dyDescent="0.35">
      <c r="A8" s="65"/>
      <c r="B8" s="71"/>
      <c r="C8" s="20" t="s">
        <v>69</v>
      </c>
      <c r="D8" s="30" t="e">
        <f>VLOOKUP(C8,Master!A:C,3,0)</f>
        <v>#N/A</v>
      </c>
      <c r="E8" s="30"/>
      <c r="F8" s="39">
        <v>46568</v>
      </c>
      <c r="G8" s="40">
        <v>1</v>
      </c>
      <c r="H8" s="22"/>
    </row>
    <row r="9" spans="1:13" x14ac:dyDescent="0.35">
      <c r="A9" s="65"/>
      <c r="B9" s="71"/>
      <c r="C9" s="20" t="s">
        <v>70</v>
      </c>
      <c r="D9" s="30" t="e">
        <f>VLOOKUP(C9,Master!A:C,3,0)</f>
        <v>#N/A</v>
      </c>
      <c r="E9" s="30"/>
      <c r="F9" s="39">
        <v>46568</v>
      </c>
      <c r="G9" s="40">
        <v>1</v>
      </c>
      <c r="H9" s="22"/>
    </row>
    <row r="10" spans="1:13" x14ac:dyDescent="0.35">
      <c r="A10" s="65"/>
      <c r="B10" s="71"/>
      <c r="C10" s="20" t="s">
        <v>71</v>
      </c>
      <c r="D10" s="30" t="e">
        <f>VLOOKUP(C10,Master!A:C,3,0)</f>
        <v>#N/A</v>
      </c>
      <c r="E10" s="30"/>
      <c r="F10" s="39">
        <v>46360</v>
      </c>
      <c r="G10" s="40">
        <v>1</v>
      </c>
      <c r="H10" s="22"/>
    </row>
    <row r="11" spans="1:13" x14ac:dyDescent="0.35">
      <c r="A11" s="66"/>
      <c r="B11" s="72"/>
      <c r="C11" s="20" t="s">
        <v>72</v>
      </c>
      <c r="D11" s="48" t="e">
        <f>VLOOKUP(C11,Master!A:C,3,0)</f>
        <v>#N/A</v>
      </c>
      <c r="E11" s="64">
        <v>46235</v>
      </c>
      <c r="F11" s="49">
        <v>46446</v>
      </c>
      <c r="G11" s="58">
        <v>0.2</v>
      </c>
      <c r="H11" s="25"/>
    </row>
    <row r="12" spans="1:13" ht="15" thickBot="1" x14ac:dyDescent="0.4">
      <c r="A12" s="66"/>
      <c r="B12" s="72"/>
      <c r="C12" s="20" t="s">
        <v>73</v>
      </c>
      <c r="D12" s="35" t="e">
        <f>VLOOKUP(C12,Master!A:C,3,0)</f>
        <v>#N/A</v>
      </c>
      <c r="E12" s="35"/>
      <c r="F12" s="39">
        <v>46568</v>
      </c>
      <c r="G12" s="43">
        <v>1</v>
      </c>
      <c r="H12" s="25"/>
    </row>
    <row r="13" spans="1:13" ht="29.5" customHeight="1" x14ac:dyDescent="0.35">
      <c r="A13" s="68" t="s">
        <v>97</v>
      </c>
      <c r="B13" s="70" t="s">
        <v>19</v>
      </c>
      <c r="C13" s="20" t="s">
        <v>74</v>
      </c>
      <c r="D13" s="34" t="e">
        <f>VLOOKUP(C13,Master!A:C,3,0)</f>
        <v>#N/A</v>
      </c>
      <c r="E13" s="34"/>
      <c r="F13" s="36">
        <v>46446</v>
      </c>
      <c r="G13" s="41">
        <v>1</v>
      </c>
      <c r="H13" s="21"/>
    </row>
    <row r="14" spans="1:13" x14ac:dyDescent="0.35">
      <c r="A14" s="65"/>
      <c r="B14" s="71"/>
      <c r="C14" s="20" t="s">
        <v>75</v>
      </c>
      <c r="D14" s="30" t="e">
        <f>VLOOKUP(C14,Master!A:C,3,0)</f>
        <v>#N/A</v>
      </c>
      <c r="E14" s="30"/>
      <c r="F14" s="39">
        <v>46325</v>
      </c>
      <c r="G14" s="40">
        <v>1</v>
      </c>
      <c r="H14" s="22"/>
      <c r="M14" s="14"/>
    </row>
    <row r="15" spans="1:13" x14ac:dyDescent="0.35">
      <c r="A15" s="65"/>
      <c r="B15" s="71"/>
      <c r="C15" s="20" t="s">
        <v>76</v>
      </c>
      <c r="D15" s="60" t="e">
        <f>VLOOKUP(C15,Master!A:C,3,0)</f>
        <v>#N/A</v>
      </c>
      <c r="E15" s="60"/>
      <c r="F15" s="61">
        <v>46568</v>
      </c>
      <c r="G15" s="62">
        <v>0.6</v>
      </c>
      <c r="H15" s="47"/>
    </row>
    <row r="16" spans="1:13" x14ac:dyDescent="0.35">
      <c r="A16" s="65"/>
      <c r="B16" s="71"/>
      <c r="C16" s="20" t="s">
        <v>77</v>
      </c>
      <c r="D16" s="30" t="e">
        <f>VLOOKUP(C16,Master!A:C,3,0)</f>
        <v>#N/A</v>
      </c>
      <c r="E16" s="30"/>
      <c r="F16" s="39">
        <v>46568</v>
      </c>
      <c r="G16" s="40">
        <v>1</v>
      </c>
      <c r="H16" s="22"/>
    </row>
    <row r="17" spans="1:8" x14ac:dyDescent="0.35">
      <c r="A17" s="65"/>
      <c r="B17" s="71"/>
      <c r="C17" s="20" t="s">
        <v>78</v>
      </c>
      <c r="D17" s="30" t="e">
        <f>VLOOKUP(C17,Master!A:C,3,0)</f>
        <v>#N/A</v>
      </c>
      <c r="E17" s="30"/>
      <c r="F17" s="39">
        <v>46568</v>
      </c>
      <c r="G17" s="40">
        <v>1</v>
      </c>
      <c r="H17" s="22"/>
    </row>
    <row r="18" spans="1:8" x14ac:dyDescent="0.35">
      <c r="A18" s="65"/>
      <c r="B18" s="71"/>
      <c r="C18" s="20" t="s">
        <v>79</v>
      </c>
      <c r="D18" s="30" t="e">
        <f>VLOOKUP(C18,Master!A:C,3,0)</f>
        <v>#N/A</v>
      </c>
      <c r="E18" s="30"/>
      <c r="F18" s="39">
        <v>46568</v>
      </c>
      <c r="G18" s="40">
        <v>1</v>
      </c>
      <c r="H18" s="22"/>
    </row>
    <row r="19" spans="1:8" x14ac:dyDescent="0.35">
      <c r="A19" s="65"/>
      <c r="B19" s="71"/>
      <c r="C19" s="20" t="s">
        <v>80</v>
      </c>
      <c r="D19" s="30" t="e">
        <f>VLOOKUP(C19,Master!A:C,3,0)</f>
        <v>#N/A</v>
      </c>
      <c r="E19" s="30"/>
      <c r="F19" s="39">
        <v>46446</v>
      </c>
      <c r="G19" s="40">
        <v>1</v>
      </c>
      <c r="H19" s="22"/>
    </row>
    <row r="20" spans="1:8" x14ac:dyDescent="0.35">
      <c r="A20" s="65"/>
      <c r="B20" s="71"/>
      <c r="C20" s="20" t="s">
        <v>81</v>
      </c>
      <c r="D20" s="30" t="e">
        <f>VLOOKUP(C20,Master!A:C,3,0)</f>
        <v>#N/A</v>
      </c>
      <c r="E20" s="30"/>
      <c r="F20" s="39">
        <v>46265</v>
      </c>
      <c r="G20" s="40">
        <v>0.5</v>
      </c>
      <c r="H20" s="46"/>
    </row>
    <row r="21" spans="1:8" x14ac:dyDescent="0.35">
      <c r="A21" s="65"/>
      <c r="B21" s="71"/>
      <c r="C21" s="20" t="s">
        <v>82</v>
      </c>
      <c r="D21" s="30" t="e">
        <f>VLOOKUP(C21,Master!A:C,3,0)</f>
        <v>#N/A</v>
      </c>
      <c r="E21" s="30"/>
      <c r="F21" s="39">
        <v>46325</v>
      </c>
      <c r="G21" s="40">
        <v>1</v>
      </c>
      <c r="H21" s="22"/>
    </row>
    <row r="22" spans="1:8" ht="15" thickBot="1" x14ac:dyDescent="0.4">
      <c r="A22" s="66"/>
      <c r="B22" s="24"/>
      <c r="C22" s="20" t="s">
        <v>83</v>
      </c>
      <c r="D22" s="35"/>
      <c r="E22" s="35"/>
      <c r="F22" s="35"/>
      <c r="G22" s="43"/>
      <c r="H22" s="25"/>
    </row>
    <row r="23" spans="1:8" x14ac:dyDescent="0.35">
      <c r="A23" s="68" t="s">
        <v>98</v>
      </c>
      <c r="B23" s="69" t="s">
        <v>18</v>
      </c>
      <c r="C23" s="20" t="s">
        <v>84</v>
      </c>
      <c r="D23" s="54" t="e">
        <f>VLOOKUP(C23,Master!A:C,3,0)</f>
        <v>#N/A</v>
      </c>
      <c r="E23" s="54"/>
      <c r="F23" s="55">
        <v>46356</v>
      </c>
      <c r="G23" s="56">
        <v>0.5</v>
      </c>
      <c r="H23" s="57"/>
    </row>
    <row r="24" spans="1:8" x14ac:dyDescent="0.35">
      <c r="A24" s="65"/>
      <c r="B24" s="67"/>
      <c r="C24" s="20" t="s">
        <v>85</v>
      </c>
      <c r="D24" s="30" t="e">
        <f>VLOOKUP(C24,Master!A:C,3,0)</f>
        <v>#N/A</v>
      </c>
      <c r="E24" s="30"/>
      <c r="F24" s="39">
        <v>46606</v>
      </c>
      <c r="G24" s="40">
        <v>1</v>
      </c>
      <c r="H24" s="22"/>
    </row>
    <row r="25" spans="1:8" x14ac:dyDescent="0.35">
      <c r="A25" s="65"/>
      <c r="B25" s="67"/>
      <c r="C25" s="20" t="s">
        <v>86</v>
      </c>
      <c r="D25" s="30" t="e">
        <f>VLOOKUP(C25,Master!A:C,3,0)</f>
        <v>#N/A</v>
      </c>
      <c r="E25" s="30"/>
      <c r="F25" s="39">
        <v>46606</v>
      </c>
      <c r="G25" s="40">
        <v>1</v>
      </c>
      <c r="H25" s="22"/>
    </row>
    <row r="26" spans="1:8" x14ac:dyDescent="0.35">
      <c r="A26" s="65"/>
      <c r="B26" s="67"/>
      <c r="C26" s="20" t="s">
        <v>87</v>
      </c>
      <c r="D26" s="30" t="e">
        <f>VLOOKUP(C26,Master!A:C,3,0)</f>
        <v>#N/A</v>
      </c>
      <c r="E26" s="30"/>
      <c r="F26" s="63">
        <v>46356</v>
      </c>
      <c r="G26" s="40">
        <v>1</v>
      </c>
      <c r="H26" s="46"/>
    </row>
    <row r="27" spans="1:8" x14ac:dyDescent="0.35">
      <c r="A27" s="65"/>
      <c r="B27" s="67"/>
      <c r="C27" s="20" t="s">
        <v>88</v>
      </c>
      <c r="D27" s="30" t="e">
        <f>VLOOKUP(C27,Master!A:C,3,0)</f>
        <v>#N/A</v>
      </c>
      <c r="E27" s="30"/>
      <c r="F27" s="39">
        <v>46418</v>
      </c>
      <c r="G27" s="40">
        <v>1</v>
      </c>
      <c r="H27" s="22"/>
    </row>
    <row r="28" spans="1:8" x14ac:dyDescent="0.35">
      <c r="A28" s="65"/>
      <c r="B28" s="67"/>
      <c r="C28" s="20" t="s">
        <v>89</v>
      </c>
      <c r="D28" s="30" t="e">
        <f>VLOOKUP(C28,Master!A:C,3,0)</f>
        <v>#N/A</v>
      </c>
      <c r="E28" s="30"/>
      <c r="F28" s="39">
        <v>46418</v>
      </c>
      <c r="G28" s="40">
        <v>1</v>
      </c>
      <c r="H28" s="22"/>
    </row>
    <row r="29" spans="1:8" ht="31.5" customHeight="1" x14ac:dyDescent="0.35">
      <c r="A29" s="65"/>
      <c r="B29" s="67"/>
      <c r="C29" s="20" t="s">
        <v>90</v>
      </c>
      <c r="D29" s="60" t="e">
        <f>VLOOKUP(C29,Master!A:C,3,0)</f>
        <v>#N/A</v>
      </c>
      <c r="E29" s="60"/>
      <c r="F29" s="61">
        <v>46606</v>
      </c>
      <c r="G29" s="62">
        <v>1</v>
      </c>
      <c r="H29" s="59"/>
    </row>
    <row r="30" spans="1:8" x14ac:dyDescent="0.35">
      <c r="A30" s="65"/>
      <c r="B30" s="67"/>
      <c r="C30" s="20" t="s">
        <v>91</v>
      </c>
      <c r="D30" s="30" t="e">
        <f>VLOOKUP(C30,Master!A:C,3,0)</f>
        <v>#N/A</v>
      </c>
      <c r="E30" s="30"/>
      <c r="F30" s="63">
        <v>46295</v>
      </c>
      <c r="G30" s="40">
        <v>1</v>
      </c>
      <c r="H30" s="46"/>
    </row>
    <row r="31" spans="1:8" x14ac:dyDescent="0.35">
      <c r="A31" s="65"/>
      <c r="B31" s="67"/>
      <c r="C31" s="20" t="s">
        <v>92</v>
      </c>
      <c r="D31" s="30" t="e">
        <f>VLOOKUP(C31,Master!A:C,3,0)</f>
        <v>#N/A</v>
      </c>
      <c r="E31" s="30"/>
      <c r="F31" s="39">
        <v>46606</v>
      </c>
      <c r="G31" s="40">
        <v>1</v>
      </c>
      <c r="H31" s="22"/>
    </row>
    <row r="32" spans="1:8" x14ac:dyDescent="0.35">
      <c r="A32" s="65"/>
      <c r="B32" s="67"/>
      <c r="C32" s="20" t="s">
        <v>93</v>
      </c>
      <c r="D32" s="30" t="e">
        <f>VLOOKUP(C32,Master!A:C,3,0)</f>
        <v>#N/A</v>
      </c>
      <c r="E32" s="30"/>
      <c r="F32" s="63">
        <v>46295</v>
      </c>
      <c r="G32" s="40">
        <v>1</v>
      </c>
      <c r="H32" s="46"/>
    </row>
    <row r="33" spans="1:8" x14ac:dyDescent="0.35">
      <c r="A33" s="65"/>
      <c r="B33" s="67"/>
      <c r="C33" s="20" t="s">
        <v>94</v>
      </c>
      <c r="D33" s="48" t="e">
        <f>VLOOKUP(C33,Master!A:C,3,0)</f>
        <v>#N/A</v>
      </c>
      <c r="E33" s="48"/>
      <c r="F33" s="49">
        <v>46387</v>
      </c>
      <c r="G33" s="50">
        <v>0.7</v>
      </c>
      <c r="H33" s="51"/>
    </row>
    <row r="34" spans="1:8" x14ac:dyDescent="0.35">
      <c r="A34" s="65"/>
      <c r="B34" s="67"/>
      <c r="C34" s="20" t="s">
        <v>95</v>
      </c>
      <c r="D34" s="30" t="e">
        <f>VLOOKUP(C34,Master!A:C,3,0)</f>
        <v>#N/A</v>
      </c>
      <c r="E34" s="30"/>
      <c r="F34" s="39">
        <v>46606</v>
      </c>
      <c r="G34" s="40">
        <v>1</v>
      </c>
      <c r="H34" s="22"/>
    </row>
    <row r="35" spans="1:8" x14ac:dyDescent="0.35">
      <c r="D35"/>
      <c r="E35"/>
      <c r="F35"/>
      <c r="G35"/>
    </row>
    <row r="36" spans="1:8" x14ac:dyDescent="0.35">
      <c r="D36"/>
      <c r="E36"/>
      <c r="F36"/>
      <c r="G36"/>
    </row>
    <row r="37" spans="1:8" x14ac:dyDescent="0.35">
      <c r="D37"/>
      <c r="E37"/>
      <c r="F37"/>
      <c r="G37"/>
    </row>
    <row r="38" spans="1:8" x14ac:dyDescent="0.35">
      <c r="D38"/>
      <c r="E38"/>
      <c r="F38"/>
      <c r="G38"/>
    </row>
    <row r="39" spans="1:8" x14ac:dyDescent="0.35">
      <c r="D39"/>
      <c r="E39"/>
      <c r="F39"/>
      <c r="G39"/>
    </row>
    <row r="40" spans="1:8" x14ac:dyDescent="0.35">
      <c r="D40"/>
      <c r="E40"/>
      <c r="F40"/>
      <c r="G40"/>
    </row>
    <row r="41" spans="1:8" x14ac:dyDescent="0.35">
      <c r="D41"/>
      <c r="E41"/>
      <c r="F41"/>
      <c r="G41"/>
    </row>
    <row r="42" spans="1:8" x14ac:dyDescent="0.35">
      <c r="D42"/>
      <c r="E42"/>
      <c r="F42"/>
      <c r="G42"/>
    </row>
    <row r="43" spans="1:8" x14ac:dyDescent="0.35">
      <c r="D43"/>
      <c r="E43"/>
      <c r="F43"/>
      <c r="G43"/>
    </row>
    <row r="44" spans="1:8" x14ac:dyDescent="0.35">
      <c r="D44"/>
      <c r="E44"/>
      <c r="F44"/>
      <c r="G44"/>
    </row>
    <row r="45" spans="1:8" x14ac:dyDescent="0.35">
      <c r="D45"/>
      <c r="E45"/>
      <c r="F45"/>
      <c r="G45"/>
    </row>
    <row r="46" spans="1:8" x14ac:dyDescent="0.35">
      <c r="D46"/>
      <c r="E46"/>
      <c r="F46"/>
      <c r="G46"/>
    </row>
    <row r="47" spans="1:8" x14ac:dyDescent="0.35">
      <c r="A47" s="52"/>
      <c r="D47"/>
      <c r="E47"/>
      <c r="F47"/>
      <c r="G47"/>
    </row>
    <row r="48" spans="1:8" x14ac:dyDescent="0.35">
      <c r="D48"/>
      <c r="E48"/>
      <c r="F48"/>
      <c r="G48"/>
    </row>
    <row r="49" spans="4:7" x14ac:dyDescent="0.35">
      <c r="D49"/>
      <c r="E49"/>
      <c r="F49"/>
      <c r="G49"/>
    </row>
    <row r="50" spans="4:7" x14ac:dyDescent="0.35">
      <c r="D50"/>
      <c r="E50"/>
      <c r="F50"/>
      <c r="G50"/>
    </row>
    <row r="51" spans="4:7" x14ac:dyDescent="0.35">
      <c r="D51"/>
      <c r="E51"/>
      <c r="F51"/>
      <c r="G51"/>
    </row>
    <row r="52" spans="4:7" x14ac:dyDescent="0.35">
      <c r="D52"/>
      <c r="E52"/>
      <c r="F52"/>
      <c r="G52"/>
    </row>
    <row r="53" spans="4:7" x14ac:dyDescent="0.35">
      <c r="D53"/>
      <c r="E53"/>
      <c r="F53"/>
      <c r="G53"/>
    </row>
    <row r="54" spans="4:7" x14ac:dyDescent="0.35">
      <c r="D54"/>
      <c r="E54"/>
      <c r="F54"/>
      <c r="G54"/>
    </row>
    <row r="55" spans="4:7" x14ac:dyDescent="0.35">
      <c r="D55"/>
      <c r="E55"/>
      <c r="F55"/>
      <c r="G55"/>
    </row>
    <row r="56" spans="4:7" x14ac:dyDescent="0.35">
      <c r="D56"/>
      <c r="E56"/>
      <c r="F56"/>
      <c r="G56"/>
    </row>
    <row r="57" spans="4:7" x14ac:dyDescent="0.35">
      <c r="D57"/>
      <c r="E57"/>
      <c r="F57"/>
      <c r="G57"/>
    </row>
    <row r="58" spans="4:7" x14ac:dyDescent="0.35">
      <c r="D58"/>
      <c r="E58"/>
      <c r="F58"/>
      <c r="G58"/>
    </row>
    <row r="59" spans="4:7" x14ac:dyDescent="0.35">
      <c r="D59"/>
      <c r="E59"/>
      <c r="F59"/>
      <c r="G59"/>
    </row>
    <row r="60" spans="4:7" x14ac:dyDescent="0.35">
      <c r="D60"/>
      <c r="E60"/>
      <c r="F60"/>
      <c r="G60"/>
    </row>
    <row r="61" spans="4:7" x14ac:dyDescent="0.35">
      <c r="D61"/>
      <c r="E61"/>
      <c r="F61"/>
      <c r="G61"/>
    </row>
    <row r="62" spans="4:7" x14ac:dyDescent="0.35">
      <c r="D62"/>
      <c r="E62"/>
      <c r="F62"/>
      <c r="G62"/>
    </row>
    <row r="63" spans="4:7" x14ac:dyDescent="0.35">
      <c r="D63"/>
      <c r="E63"/>
      <c r="F63"/>
      <c r="G63"/>
    </row>
    <row r="64" spans="4:7" x14ac:dyDescent="0.35">
      <c r="D64"/>
      <c r="E64"/>
      <c r="F64"/>
      <c r="G64"/>
    </row>
    <row r="65" spans="4:7" x14ac:dyDescent="0.35">
      <c r="D65"/>
      <c r="E65"/>
      <c r="F65"/>
      <c r="G65"/>
    </row>
    <row r="66" spans="4:7" x14ac:dyDescent="0.35">
      <c r="D66"/>
      <c r="E66"/>
      <c r="F66"/>
      <c r="G66"/>
    </row>
    <row r="67" spans="4:7" x14ac:dyDescent="0.35">
      <c r="D67"/>
      <c r="E67"/>
      <c r="F67"/>
      <c r="G67"/>
    </row>
    <row r="68" spans="4:7" x14ac:dyDescent="0.35">
      <c r="D68"/>
      <c r="E68"/>
      <c r="F68"/>
      <c r="G68"/>
    </row>
    <row r="69" spans="4:7" x14ac:dyDescent="0.35">
      <c r="D69"/>
      <c r="E69"/>
      <c r="F69"/>
      <c r="G69"/>
    </row>
    <row r="70" spans="4:7" x14ac:dyDescent="0.35">
      <c r="D70"/>
      <c r="E70"/>
      <c r="F70"/>
      <c r="G70"/>
    </row>
    <row r="71" spans="4:7" x14ac:dyDescent="0.35">
      <c r="D71"/>
      <c r="E71"/>
      <c r="F71"/>
      <c r="G71"/>
    </row>
    <row r="72" spans="4:7" x14ac:dyDescent="0.35">
      <c r="D72"/>
      <c r="E72"/>
      <c r="F72"/>
      <c r="G72"/>
    </row>
    <row r="73" spans="4:7" x14ac:dyDescent="0.35">
      <c r="D73"/>
      <c r="E73"/>
      <c r="F73"/>
      <c r="G73"/>
    </row>
    <row r="74" spans="4:7" x14ac:dyDescent="0.35">
      <c r="D74"/>
      <c r="E74"/>
      <c r="F74"/>
      <c r="G74"/>
    </row>
    <row r="75" spans="4:7" x14ac:dyDescent="0.35">
      <c r="D75"/>
      <c r="E75"/>
      <c r="F75"/>
      <c r="G75"/>
    </row>
    <row r="76" spans="4:7" x14ac:dyDescent="0.35">
      <c r="D76"/>
      <c r="E76"/>
      <c r="F76"/>
      <c r="G76"/>
    </row>
    <row r="77" spans="4:7" x14ac:dyDescent="0.35">
      <c r="D77"/>
      <c r="E77"/>
      <c r="F77"/>
      <c r="G77"/>
    </row>
    <row r="78" spans="4:7" x14ac:dyDescent="0.35">
      <c r="D78"/>
      <c r="E78"/>
      <c r="F78"/>
      <c r="G78"/>
    </row>
    <row r="79" spans="4:7" x14ac:dyDescent="0.35">
      <c r="D79"/>
      <c r="E79"/>
      <c r="F79"/>
      <c r="G79"/>
    </row>
    <row r="80" spans="4:7" x14ac:dyDescent="0.35">
      <c r="D80"/>
      <c r="E80"/>
      <c r="F80"/>
      <c r="G80"/>
    </row>
    <row r="82" spans="1:1" x14ac:dyDescent="0.35">
      <c r="A82" s="12" t="s">
        <v>61</v>
      </c>
    </row>
  </sheetData>
  <autoFilter ref="A1:M1" xr:uid="{CF1603F5-FFA6-4F73-8E90-F7CC91B8B394}"/>
  <mergeCells count="6">
    <mergeCell ref="B13:B21"/>
    <mergeCell ref="A2:A12"/>
    <mergeCell ref="B2:B12"/>
    <mergeCell ref="A13:A22"/>
    <mergeCell ref="A23:A34"/>
    <mergeCell ref="B23:B3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Utilization by Engagement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Zhiying Song</dc:creator>
  <cp:keywords/>
  <dc:description/>
  <cp:lastModifiedBy>Grayson Sutedjo</cp:lastModifiedBy>
  <cp:revision/>
  <dcterms:created xsi:type="dcterms:W3CDTF">2025-02-27T03:26:54Z</dcterms:created>
  <dcterms:modified xsi:type="dcterms:W3CDTF">2026-08-07T09:18:41Z</dcterms:modified>
  <cp:category/>
  <cp:contentStatus/>
</cp:coreProperties>
</file>