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65" yWindow="-165" windowWidth="29130" windowHeight="15810" tabRatio="600" firstSheet="0" activeTab="1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Utilization by Engagement" sheetId="2" state="visible" r:id="rId2"/>
  </sheets>
  <externalReferences>
    <externalReference xmlns:r="http://schemas.openxmlformats.org/officeDocument/2006/relationships" r:id="rId3"/>
  </externalReferences>
  <definedNames>
    <definedName name="_xlnm._FilterDatabase" localSheetId="0" hidden="1">'Master'!$A$1:$AL$2</definedName>
    <definedName name="_xlnm._FilterDatabase" localSheetId="1" hidden="1">'Utilization by Engagement'!$A$1:$M$1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0.0%;\-0.0%;0.0%"/>
    <numFmt numFmtId="165" formatCode="0%;\-0%;0%"/>
    <numFmt numFmtId="166" formatCode="0%;-0%;0%"/>
    <numFmt numFmtId="167" formatCode="yyyy-mm-dd h:mm:ss"/>
    <numFmt numFmtId="168" formatCode="yyyy-mm-dd"/>
  </numFmts>
  <fonts count="7">
    <font>
      <name val="Aptos Narrow"/>
      <sz val="11"/>
    </font>
    <font>
      <name val="Aptos Narrow"/>
      <family val="2"/>
      <b val="1"/>
      <color rgb="FFFFFF00"/>
      <sz val="11"/>
    </font>
    <font>
      <name val="Aptos Narrow"/>
      <family val="2"/>
      <sz val="11"/>
    </font>
    <font>
      <name val="Aptos Narrow"/>
      <family val="2"/>
      <b val="1"/>
      <sz val="11"/>
    </font>
    <font>
      <name val="Aptos Narrow"/>
      <family val="2"/>
      <b val="1"/>
      <color theme="0"/>
      <sz val="11"/>
    </font>
    <font>
      <name val="Aptos Narrow"/>
      <family val="2"/>
      <color rgb="FFFF0000"/>
      <sz val="11"/>
    </font>
    <font>
      <name val="Aptos Narrow"/>
      <sz val="8"/>
    </font>
  </fonts>
  <fills count="10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76"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top" wrapText="1"/>
    </xf>
    <xf numFmtId="0" fontId="3" fillId="4" borderId="1" applyAlignment="1" pivotButton="0" quotePrefix="0" xfId="1">
      <alignment horizontal="center" vertical="top" wrapText="1"/>
    </xf>
    <xf numFmtId="0" fontId="3" fillId="5" borderId="1" applyAlignment="1" pivotButton="0" quotePrefix="0" xfId="1">
      <alignment horizontal="center" vertical="top" wrapText="1"/>
    </xf>
    <xf numFmtId="0" fontId="3" fillId="5" borderId="0" applyAlignment="1" pivotButton="0" quotePrefix="0" xfId="1">
      <alignment horizontal="center" vertical="top" wrapText="1"/>
    </xf>
    <xf numFmtId="0" fontId="3" fillId="3" borderId="1" applyAlignment="1" pivotButton="0" quotePrefix="0" xfId="1">
      <alignment horizontal="center" vertical="top" wrapText="1"/>
    </xf>
    <xf numFmtId="165" fontId="0" fillId="0" borderId="0" pivotButton="0" quotePrefix="0" xfId="0"/>
    <xf numFmtId="0" fontId="0" fillId="0" borderId="0" pivotButton="0" quotePrefix="0" xfId="1"/>
    <xf numFmtId="0" fontId="0" fillId="0" borderId="0" applyAlignment="1" pivotButton="0" quotePrefix="0" xfId="1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2" fillId="0" borderId="0" applyAlignment="1" pivotButton="0" quotePrefix="0" xfId="1">
      <alignment wrapText="1"/>
    </xf>
    <xf numFmtId="9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14" fontId="0" fillId="0" borderId="0" applyAlignment="1" pivotButton="0" quotePrefix="0" xfId="1">
      <alignment horizontal="center" vertical="top" wrapText="1"/>
    </xf>
    <xf numFmtId="0" fontId="0" fillId="0" borderId="0" applyAlignment="1" pivotButton="0" quotePrefix="0" xfId="1">
      <alignment horizontal="left" vertical="top" wrapText="1"/>
    </xf>
    <xf numFmtId="0" fontId="0" fillId="0" borderId="2" pivotButton="0" quotePrefix="0" xfId="0"/>
    <xf numFmtId="0" fontId="0" fillId="0" borderId="7" pivotButton="0" quotePrefix="0" xfId="0"/>
    <xf numFmtId="0" fontId="0" fillId="0" borderId="8" pivotButton="0" quotePrefix="0" xfId="0"/>
    <xf numFmtId="9" fontId="0" fillId="0" borderId="0" applyAlignment="1" pivotButton="0" quotePrefix="0" xfId="0">
      <alignment horizontal="center"/>
    </xf>
    <xf numFmtId="0" fontId="0" fillId="0" borderId="3" pivotButton="0" quotePrefix="0" xfId="0"/>
    <xf numFmtId="0" fontId="0" fillId="0" borderId="9" pivotButton="0" quotePrefix="0" xfId="0"/>
    <xf numFmtId="0" fontId="3" fillId="8" borderId="0" applyAlignment="1" pivotButton="0" quotePrefix="0" xfId="1">
      <alignment horizontal="center" vertical="top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3" fillId="9" borderId="1" applyAlignment="1" pivotButton="0" quotePrefix="0" xfId="1">
      <alignment horizontal="center" vertical="top" wrapText="1"/>
    </xf>
    <xf numFmtId="0" fontId="3" fillId="9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15" fontId="0" fillId="0" borderId="6" applyAlignment="1" pivotButton="0" quotePrefix="0" xfId="0">
      <alignment horizontal="center"/>
    </xf>
    <xf numFmtId="0" fontId="0" fillId="0" borderId="0" applyAlignment="1" pivotButton="0" quotePrefix="0" xfId="0">
      <alignment horizontal="left" vertical="top"/>
    </xf>
    <xf numFmtId="0" fontId="3" fillId="4" borderId="1" applyAlignment="1" pivotButton="0" quotePrefix="0" xfId="1">
      <alignment horizontal="center" vertical="center" wrapText="1"/>
    </xf>
    <xf numFmtId="15" fontId="0" fillId="0" borderId="2" applyAlignment="1" pivotButton="0" quotePrefix="0" xfId="0">
      <alignment horizontal="center"/>
    </xf>
    <xf numFmtId="9" fontId="0" fillId="0" borderId="2" applyAlignment="1" pivotButton="0" quotePrefix="0" xfId="0">
      <alignment horizontal="center"/>
    </xf>
    <xf numFmtId="9" fontId="0" fillId="0" borderId="6" applyAlignment="1" pivotButton="0" quotePrefix="0" xfId="0">
      <alignment horizontal="center"/>
    </xf>
    <xf numFmtId="9" fontId="4" fillId="7" borderId="10" applyAlignment="1" pivotButton="0" quotePrefix="0" xfId="0">
      <alignment horizontal="center" vertical="center" wrapText="1"/>
    </xf>
    <xf numFmtId="9" fontId="0" fillId="0" borderId="3" applyAlignment="1" pivotButton="0" quotePrefix="0" xfId="0">
      <alignment horizontal="center"/>
    </xf>
    <xf numFmtId="0" fontId="2" fillId="0" borderId="7" pivotButton="0" quotePrefix="0" xfId="0"/>
    <xf numFmtId="165" fontId="0" fillId="0" borderId="0" applyAlignment="1" pivotButton="0" quotePrefix="0" xfId="0">
      <alignment horizontal="center"/>
    </xf>
    <xf numFmtId="0" fontId="2" fillId="0" borderId="8" pivotButton="0" quotePrefix="0" xfId="0"/>
    <xf numFmtId="0" fontId="2" fillId="0" borderId="8" applyAlignment="1" pivotButton="0" quotePrefix="0" xfId="0">
      <alignment wrapText="1"/>
    </xf>
    <xf numFmtId="0" fontId="5" fillId="0" borderId="2" applyAlignment="1" pivotButton="0" quotePrefix="0" xfId="0">
      <alignment horizontal="center"/>
    </xf>
    <xf numFmtId="15" fontId="5" fillId="0" borderId="2" applyAlignment="1" pivotButton="0" quotePrefix="0" xfId="0">
      <alignment horizontal="center"/>
    </xf>
    <xf numFmtId="9" fontId="5" fillId="0" borderId="2" applyAlignment="1" pivotButton="0" quotePrefix="0" xfId="0">
      <alignment horizontal="center"/>
    </xf>
    <xf numFmtId="0" fontId="5" fillId="0" borderId="8" pivotButton="0" quotePrefix="0" xfId="0"/>
    <xf numFmtId="17" fontId="0" fillId="0" borderId="0" pivotButton="0" quotePrefix="0" xfId="0"/>
    <xf numFmtId="0" fontId="5" fillId="0" borderId="6" pivotButton="0" quotePrefix="0" xfId="0"/>
    <xf numFmtId="0" fontId="5" fillId="0" borderId="6" applyAlignment="1" pivotButton="0" quotePrefix="0" xfId="0">
      <alignment horizontal="center"/>
    </xf>
    <xf numFmtId="15" fontId="5" fillId="0" borderId="6" applyAlignment="1" pivotButton="0" quotePrefix="0" xfId="0">
      <alignment horizontal="center"/>
    </xf>
    <xf numFmtId="9" fontId="5" fillId="0" borderId="6" applyAlignment="1" pivotButton="0" quotePrefix="0" xfId="0">
      <alignment horizontal="center"/>
    </xf>
    <xf numFmtId="0" fontId="5" fillId="0" borderId="7" pivotButton="0" quotePrefix="0" xfId="0"/>
    <xf numFmtId="9" fontId="5" fillId="0" borderId="3" applyAlignment="1" pivotButton="0" quotePrefix="0" xfId="0">
      <alignment horizontal="center"/>
    </xf>
    <xf numFmtId="0" fontId="5" fillId="0" borderId="8" applyAlignment="1" pivotButton="0" quotePrefix="0" xfId="0">
      <alignment wrapText="1"/>
    </xf>
    <xf numFmtId="0" fontId="5" fillId="0" borderId="2" applyAlignment="1" pivotButton="0" quotePrefix="0" xfId="0">
      <alignment horizontal="center" vertical="center"/>
    </xf>
    <xf numFmtId="15" fontId="5" fillId="0" borderId="2" applyAlignment="1" pivotButton="0" quotePrefix="0" xfId="0">
      <alignment horizontal="center" vertical="center"/>
    </xf>
    <xf numFmtId="9" fontId="5" fillId="0" borderId="2" applyAlignment="1" pivotButton="0" quotePrefix="0" xfId="0">
      <alignment horizontal="center" vertical="center"/>
    </xf>
    <xf numFmtId="15" fontId="0" fillId="6" borderId="2" applyAlignment="1" pivotButton="0" quotePrefix="0" xfId="0">
      <alignment horizontal="center"/>
    </xf>
    <xf numFmtId="15" fontId="5" fillId="0" borderId="3" applyAlignment="1" pivotButton="0" quotePrefix="0" xfId="0">
      <alignment horizont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166" fontId="0" fillId="0" borderId="0" pivotButton="0" quotePrefix="0" xfId="0"/>
    <xf numFmtId="14" fontId="0" fillId="0" borderId="0" pivotButton="0" quotePrefix="0" xfId="0"/>
    <xf numFmtId="168" fontId="0" fillId="0" borderId="0" pivotButton="0" quotePrefix="0" xfId="0"/>
  </cellXfs>
  <cellStyles count="2">
    <cellStyle name="Normal" xfId="0" builtinId="0"/>
    <cellStyle name="Normal 2" xfId="1"/>
  </cellStyles>
  <dxfs count="4">
    <dxf>
      <font>
        <color theme="1"/>
      </font>
      <fill>
        <patternFill>
          <bgColor theme="9" tint="0.5999633777886288"/>
        </patternFill>
      </fill>
    </dxf>
    <dxf>
      <font>
        <color theme="1"/>
      </font>
      <fill>
        <patternFill>
          <bgColor theme="4" tint="0.7999816888943144"/>
        </patternFill>
      </fill>
    </dxf>
    <dxf>
      <font>
        <color theme="1"/>
      </font>
      <fill>
        <patternFill>
          <bgColor theme="7" tint="0.5999633777886288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people.ey.com/personal/john_koh_sg_ey_com/Documents/Resource%20Management/AI%20Data%20-%20FY26%20Utilisation%20Summary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1"/>
      <sheetName val="Export"/>
      <sheetName val="Summary - FY26 Utilization"/>
      <sheetName val="FY26-YTD Utilization"/>
    </sheetNames>
    <sheetDataSet>
      <sheetData sheetId="0"/>
      <sheetData sheetId="1"/>
      <sheetData sheetId="2">
        <row r="1">
          <cell r="E1" t="str">
            <v>Pecentage</v>
          </cell>
        </row>
        <row r="2">
          <cell r="C2" t="str">
            <v>100% Chargeability</v>
          </cell>
          <cell r="E2">
            <v>0.234375</v>
          </cell>
        </row>
        <row r="3">
          <cell r="C3" t="str">
            <v>&gt;90% Chargeability</v>
          </cell>
          <cell r="E3">
            <v>0.265625</v>
          </cell>
        </row>
        <row r="4">
          <cell r="C4" t="str">
            <v>70-90% Chargeability</v>
          </cell>
          <cell r="E4">
            <v>0.21875</v>
          </cell>
        </row>
        <row r="5">
          <cell r="C5" t="str">
            <v>&lt; 70% Chergeability</v>
          </cell>
          <cell r="E5">
            <v>0.28125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AL21"/>
  <sheetViews>
    <sheetView zoomScale="76" zoomScaleNormal="100" workbookViewId="0">
      <pane xSplit="1" ySplit="1" topLeftCell="B2" activePane="bottomRight" state="frozen"/>
      <selection activeCell="E360" sqref="C316:E360"/>
      <selection pane="topRight" activeCell="E360" sqref="C316:E360"/>
      <selection pane="bottomLeft" activeCell="E360" sqref="C316:E360"/>
      <selection pane="bottomRight" activeCell="A2" sqref="A2"/>
    </sheetView>
  </sheetViews>
  <sheetFormatPr baseColWidth="8" defaultColWidth="8.7265625" defaultRowHeight="43.5" customHeight="1"/>
  <cols>
    <col width="29.453125" customWidth="1" min="1" max="1"/>
    <col width="7.453125" bestFit="1" customWidth="1" min="2" max="2"/>
    <col width="21.81640625" customWidth="1" min="3" max="3"/>
    <col width="28.1796875" customWidth="1" min="4" max="4"/>
    <col width="9.81640625" customWidth="1" min="5" max="5"/>
    <col width="10.81640625" customWidth="1" min="6" max="6"/>
    <col width="11.54296875" customWidth="1" min="7" max="7"/>
    <col width="8.7265625" customWidth="1" min="8" max="12"/>
    <col width="7.7265625" customWidth="1" min="13" max="13"/>
    <col width="7.54296875" customWidth="1" min="14" max="14"/>
    <col width="34.54296875" customWidth="1" style="37" min="15" max="15"/>
    <col width="34.54296875" customWidth="1" min="16" max="16"/>
    <col width="34.54296875" customWidth="1" style="16" min="17" max="20"/>
    <col width="31.54296875" bestFit="1" customWidth="1" style="17" min="21" max="21"/>
    <col width="12.54296875" bestFit="1" customWidth="1" style="17" min="22" max="22"/>
    <col width="33" customWidth="1" min="23" max="23"/>
    <col width="11.7265625" customWidth="1" min="24" max="24"/>
    <col width="29.81640625" customWidth="1" min="25" max="25"/>
    <col width="64.26953125" customWidth="1" min="26" max="27"/>
    <col hidden="1" width="15.453125" customWidth="1" min="28" max="28"/>
    <col hidden="1" width="15.7265625" customWidth="1" min="29" max="29"/>
    <col hidden="1" width="29.26953125" customWidth="1" min="30" max="30"/>
    <col hidden="1" width="39.1796875" customWidth="1" min="31" max="31"/>
    <col hidden="1" width="23.81640625" customWidth="1" min="32" max="32"/>
    <col hidden="1" width="20.453125" customWidth="1" min="33" max="33"/>
    <col hidden="1" width="25.453125" customWidth="1" min="34" max="34"/>
    <col hidden="1" width="30.7265625" customWidth="1" min="35" max="35"/>
    <col width="43.7265625" customWidth="1" min="36" max="36"/>
    <col width="79.54296875" bestFit="1" customWidth="1" min="37" max="37"/>
    <col width="27" customWidth="1" min="38" max="38"/>
  </cols>
  <sheetData>
    <row r="1" ht="43.5" customFormat="1" customHeight="1" s="2">
      <c r="A1" s="3" t="inlineStr">
        <is>
          <t>Employee name</t>
        </is>
      </c>
      <c r="B1" s="3" t="inlineStr">
        <is>
          <t>Gender</t>
        </is>
      </c>
      <c r="C1" s="3" t="inlineStr">
        <is>
          <t>Rank and Grade</t>
        </is>
      </c>
      <c r="D1" s="3" t="inlineStr">
        <is>
          <t>Bench Category Column</t>
        </is>
      </c>
      <c r="E1" s="3" t="inlineStr">
        <is>
          <t>6 Weeks Forecast</t>
        </is>
      </c>
      <c r="F1" s="3" t="inlineStr">
        <is>
          <t>12 Weeks Forecast</t>
        </is>
      </c>
      <c r="G1" s="3" t="inlineStr">
        <is>
          <t>Current Week Forecast</t>
        </is>
      </c>
      <c r="H1" s="3" t="inlineStr">
        <is>
          <t>WC 14 Jul 2026</t>
        </is>
      </c>
      <c r="I1" s="3" t="inlineStr">
        <is>
          <t>WC 22 Jul 2026</t>
        </is>
      </c>
      <c r="J1" s="3" t="inlineStr">
        <is>
          <t>WC 29 Jul 2026</t>
        </is>
      </c>
      <c r="K1" s="3" t="inlineStr">
        <is>
          <t>WC 5 Aug 2026</t>
        </is>
      </c>
      <c r="L1" s="3" t="inlineStr">
        <is>
          <t>WC 12 Aug 2026</t>
        </is>
      </c>
      <c r="M1" s="3" t="inlineStr">
        <is>
          <t>WC 19 Aug 2026</t>
        </is>
      </c>
      <c r="N1" s="3" t="inlineStr">
        <is>
          <t>WC 26 Aug 2026</t>
        </is>
      </c>
      <c r="O1" s="38" t="inlineStr">
        <is>
          <t>Allocation Remarks</t>
        </is>
      </c>
      <c r="P1" s="4" t="inlineStr">
        <is>
          <t>Bench/Partial Bench (Profinda)</t>
        </is>
      </c>
      <c r="Q1" s="32" t="inlineStr">
        <is>
          <t>% Availablity (1mth)</t>
        </is>
      </c>
      <c r="R1" s="32" t="inlineStr">
        <is>
          <t>% Availablity (2mth)</t>
        </is>
      </c>
      <c r="S1" s="32" t="inlineStr">
        <is>
          <t>% Availablity (3mth)</t>
        </is>
      </c>
      <c r="T1" s="32" t="inlineStr">
        <is>
          <t>% Availablity (6mth)</t>
        </is>
      </c>
      <c r="U1" s="31" t="inlineStr">
        <is>
          <t>% Availablity 6mth onwards (Outdated)</t>
        </is>
      </c>
      <c r="V1" s="4" t="inlineStr">
        <is>
          <t>End date</t>
        </is>
      </c>
      <c r="W1" s="5" t="inlineStr">
        <is>
          <t>Nationality</t>
        </is>
      </c>
      <c r="X1" s="5" t="inlineStr">
        <is>
          <t>Previous/Existing Project Roles</t>
        </is>
      </c>
      <c r="Y1" s="5" t="inlineStr">
        <is>
          <t>Primary Skillset (Platform)</t>
        </is>
      </c>
      <c r="Z1" s="6" t="inlineStr">
        <is>
          <t>Secondary Skillset</t>
        </is>
      </c>
      <c r="AA1" s="6" t="inlineStr">
        <is>
          <t>Combined Bucket Skillset</t>
        </is>
      </c>
      <c r="AB1" s="26" t="inlineStr">
        <is>
          <t>Data Engineering</t>
        </is>
      </c>
      <c r="AC1" s="26" t="inlineStr">
        <is>
          <t>Data Architecture</t>
        </is>
      </c>
      <c r="AD1" s="26" t="inlineStr">
        <is>
          <t>Business Intelligence &amp; Analytics</t>
        </is>
      </c>
      <c r="AE1" s="26" t="inlineStr">
        <is>
          <t>Artificial Intelligence (AI) &amp; Machine Learning</t>
        </is>
      </c>
      <c r="AF1" s="26" t="inlineStr">
        <is>
          <t>Data Governance &amp; Quality</t>
        </is>
      </c>
      <c r="AG1" s="26" t="inlineStr">
        <is>
          <t>Data Security &amp; Privacy</t>
        </is>
      </c>
      <c r="AH1" s="26" t="inlineStr">
        <is>
          <t>Data Strategy &amp; Management</t>
        </is>
      </c>
      <c r="AI1" s="26" t="inlineStr">
        <is>
          <t>Cloud Data Platforms &amp; Operations</t>
        </is>
      </c>
      <c r="AJ1" s="5" t="inlineStr">
        <is>
          <t>Aspiring roles</t>
        </is>
      </c>
      <c r="AK1" s="7" t="inlineStr">
        <is>
          <t>Current Engagement</t>
        </is>
      </c>
      <c r="AL1" s="7" t="inlineStr">
        <is>
          <t>EM</t>
        </is>
      </c>
    </row>
    <row r="2" ht="43.5" customHeight="1">
      <c r="A2" t="inlineStr">
        <is>
          <t>Pokka</t>
        </is>
      </c>
      <c r="B2" t="inlineStr">
        <is>
          <t>Male</t>
        </is>
      </c>
      <c r="C2" t="inlineStr">
        <is>
          <t>Intern (CS) 1</t>
        </is>
      </c>
      <c r="D2" t="inlineStr">
        <is>
          <t>Coming on bench in 1 week(s)</t>
        </is>
      </c>
      <c r="E2" s="73" t="n">
        <v>0</v>
      </c>
      <c r="F2" s="73" t="n">
        <v>0</v>
      </c>
      <c r="G2" s="73" t="n">
        <v>1.03509</v>
      </c>
      <c r="H2" s="73" t="n">
        <v>0</v>
      </c>
      <c r="I2" s="73" t="n">
        <v>0</v>
      </c>
      <c r="J2" s="73" t="n">
        <v>0</v>
      </c>
      <c r="K2" s="73" t="n">
        <v>0</v>
      </c>
      <c r="L2" s="73" t="n">
        <v>0</v>
      </c>
      <c r="M2" s="73" t="n">
        <v>0</v>
      </c>
      <c r="N2" s="73" t="n">
        <v>0</v>
      </c>
      <c r="O2" t="inlineStr">
        <is>
          <t>May - Aug 2027 SAESL 
May - Aug 2026 - SAESL 100%
Internship until 7 Aug</t>
        </is>
      </c>
      <c r="P2">
        <f>IF($G2&gt;=100%,"NA",IF(G2=0%,"Bench","Partial Bench"))</f>
        <v/>
      </c>
      <c r="Q2" s="73" t="n">
        <v>0</v>
      </c>
      <c r="R2" s="73" t="n">
        <v>0</v>
      </c>
      <c r="S2" s="73" t="n">
        <v>0</v>
      </c>
      <c r="T2" s="73" t="n">
        <v>0</v>
      </c>
      <c r="U2" t="inlineStr">
        <is>
          <t xml:space="preserve">100%
</t>
        </is>
      </c>
      <c r="V2" s="74" t="n">
        <v>46211</v>
      </c>
      <c r="W2" t="inlineStr">
        <is>
          <t>Singaporean</t>
        </is>
      </c>
      <c r="X2" t="inlineStr">
        <is>
          <t>Tech Consultant</t>
        </is>
      </c>
      <c r="Y2" t="inlineStr">
        <is>
          <t>Python, MySQL, C++, Javascript, Typescript</t>
        </is>
      </c>
      <c r="Z2" t="inlineStr">
        <is>
          <t>Python
PyTorch, Scikit-learn, SHAP, Model Optimization, Feature Engineering</t>
        </is>
      </c>
      <c r="AA2">
        <f t="array" ref="AA2">_xlfn.TEXTJOIN(", ",TRUE,_xlfn._xlws.FILTER($AB$1:$AI$1,$AB2:$AI2="Yes"))</f>
        <v/>
      </c>
      <c r="AB2" t="inlineStr">
        <is>
          <t>Yes</t>
        </is>
      </c>
      <c r="AD2" t="inlineStr">
        <is>
          <t>Yes</t>
        </is>
      </c>
      <c r="AE2" t="inlineStr">
        <is>
          <t>Yes</t>
        </is>
      </c>
      <c r="AJ2" t="inlineStr">
        <is>
          <t>AI/ML Ops
Software Developer / AI Engineer</t>
        </is>
      </c>
      <c r="AK2" t="inlineStr">
        <is>
          <t>Singapore Aero Engine Services Private Limited - SAESL S/4HANA Implementation - E-69379635</t>
        </is>
      </c>
      <c r="AL2" t="inlineStr">
        <is>
          <t>Liu, Vanessa</t>
        </is>
      </c>
    </row>
    <row r="3" ht="43.5" customHeight="1">
      <c r="A3" t="inlineStr">
        <is>
          <t>Kopi, Jia Wei</t>
        </is>
      </c>
      <c r="B3" t="inlineStr">
        <is>
          <t>Male</t>
        </is>
      </c>
      <c r="C3" t="inlineStr">
        <is>
          <t>Associate 2</t>
        </is>
      </c>
      <c r="D3" t="inlineStr">
        <is>
          <t>On bench now</t>
        </is>
      </c>
      <c r="E3" s="73" t="n">
        <v>0</v>
      </c>
      <c r="F3" s="73" t="n">
        <v>0</v>
      </c>
      <c r="G3" s="73" t="n">
        <v>0</v>
      </c>
      <c r="H3" s="73" t="n">
        <v>0</v>
      </c>
      <c r="I3" s="73" t="n">
        <v>0</v>
      </c>
      <c r="J3" s="73" t="n">
        <v>0</v>
      </c>
      <c r="K3" s="73" t="n">
        <v>0</v>
      </c>
      <c r="L3" s="73" t="n">
        <v>0</v>
      </c>
      <c r="M3" s="73" t="n">
        <v>0</v>
      </c>
      <c r="N3" s="73" t="n">
        <v>0</v>
      </c>
      <c r="O3" t="inlineStr">
        <is>
          <t>On bench - available for immediate staffing</t>
        </is>
      </c>
      <c r="P3">
        <f>IF($G3&gt;=100%,"NA",IF(G3=0%,"Bench","Partial Bench"))</f>
        <v/>
      </c>
      <c r="Q3" s="73" t="n">
        <v>1</v>
      </c>
      <c r="R3" s="73" t="n">
        <v>1</v>
      </c>
      <c r="S3" s="73" t="n">
        <v>1</v>
      </c>
      <c r="T3" s="73" t="n">
        <v>1</v>
      </c>
      <c r="U3" t="inlineStr">
        <is>
          <t xml:space="preserve">100%
</t>
        </is>
      </c>
      <c r="V3" s="74" t="n"/>
      <c r="W3" t="inlineStr">
        <is>
          <t>Singaporean</t>
        </is>
      </c>
      <c r="X3" t="inlineStr">
        <is>
          <t>Data Engineer</t>
        </is>
      </c>
      <c r="Y3" t="inlineStr">
        <is>
          <t>Python, SQL, Spark, Airflow, dbt</t>
        </is>
      </c>
      <c r="Z3" t="inlineStr">
        <is>
          <t>Lakehouse Architecture
Kafka Streaming, Delta Lake</t>
        </is>
      </c>
      <c r="AA3">
        <f t="array" ref="AA3">_xlfn.TEXTJOIN(", ",TRUE,_xlfn._xlws.FILTER($AB$1:$AI$1,$AB3:$AI3="Yes"))</f>
        <v/>
      </c>
      <c r="AB3" t="inlineStr">
        <is>
          <t>Yes</t>
        </is>
      </c>
      <c r="AI3" t="inlineStr">
        <is>
          <t>Yes</t>
        </is>
      </c>
      <c r="AJ3" t="inlineStr">
        <is>
          <t>Lead Data Engineer
Data Architect</t>
        </is>
      </c>
      <c r="AK3" t="inlineStr">
        <is>
          <t>On bench</t>
        </is>
      </c>
      <c r="AL3" t="inlineStr">
        <is>
          <t>Liu, Vanessa</t>
        </is>
      </c>
    </row>
    <row r="4" ht="43.5" customHeight="1">
      <c r="A4" t="inlineStr">
        <is>
          <t>Teh, Mei Ling</t>
        </is>
      </c>
      <c r="B4" t="inlineStr">
        <is>
          <t>Female</t>
        </is>
      </c>
      <c r="C4" t="inlineStr">
        <is>
          <t>Senior 1</t>
        </is>
      </c>
      <c r="D4" t="inlineStr">
        <is>
          <t>Fully allocated</t>
        </is>
      </c>
      <c r="E4" s="73" t="n">
        <v>1</v>
      </c>
      <c r="F4" s="73" t="n">
        <v>1</v>
      </c>
      <c r="G4" s="73" t="n">
        <v>1</v>
      </c>
      <c r="H4" s="73" t="n">
        <v>1</v>
      </c>
      <c r="I4" s="73" t="n">
        <v>1</v>
      </c>
      <c r="J4" s="73" t="n">
        <v>1</v>
      </c>
      <c r="K4" s="73" t="n">
        <v>1</v>
      </c>
      <c r="L4" s="73" t="n">
        <v>1</v>
      </c>
      <c r="M4" s="73" t="n">
        <v>1</v>
      </c>
      <c r="N4" s="73" t="n">
        <v>1</v>
      </c>
      <c r="O4" t="inlineStr">
        <is>
          <t>Current - Dummy Telco Customer 360 lakehouse (100%)
Expected end Apr 2027
Internal enablement after roll-off</t>
        </is>
      </c>
      <c r="P4">
        <f>IF($G4&gt;=100%,"NA",IF(G4=0%,"Bench","Partial Bench"))</f>
        <v/>
      </c>
      <c r="Q4" s="73" t="n">
        <v>0</v>
      </c>
      <c r="R4" s="73" t="n">
        <v>0</v>
      </c>
      <c r="S4" s="73" t="n">
        <v>0</v>
      </c>
      <c r="T4" s="73" t="n">
        <v>0</v>
      </c>
      <c r="U4" t="inlineStr">
        <is>
          <t xml:space="preserve">0%
</t>
        </is>
      </c>
      <c r="V4" s="74" t="n">
        <v>46497</v>
      </c>
      <c r="W4" t="inlineStr">
        <is>
          <t>Singaporean</t>
        </is>
      </c>
      <c r="X4" t="inlineStr">
        <is>
          <t>AI Engineer</t>
        </is>
      </c>
      <c r="Y4" t="inlineStr">
        <is>
          <t>Python, PyTorch, LangChain, LLMs, RAG</t>
        </is>
      </c>
      <c r="Z4" t="inlineStr">
        <is>
          <t>NLP
Document Intelligence, Prompt Engineering</t>
        </is>
      </c>
      <c r="AA4">
        <f t="array" ref="AA4">_xlfn.TEXTJOIN(", ",TRUE,_xlfn._xlws.FILTER($AB$1:$AI$1,$AB4:$AI4="Yes"))</f>
        <v/>
      </c>
      <c r="AB4" t="inlineStr">
        <is>
          <t>Yes</t>
        </is>
      </c>
      <c r="AE4" t="inlineStr">
        <is>
          <t>Yes</t>
        </is>
      </c>
      <c r="AJ4" t="inlineStr">
        <is>
          <t>GenAI Lead
ML Research Engineer</t>
        </is>
      </c>
      <c r="AK4" t="inlineStr">
        <is>
          <t>Dummy Telco - Customer 360 lakehouse - E-71004821</t>
        </is>
      </c>
      <c r="AL4" t="inlineStr">
        <is>
          <t>Tan, Alexis</t>
        </is>
      </c>
    </row>
    <row r="5" ht="43.5" customHeight="1">
      <c r="A5" t="inlineStr">
        <is>
          <t>Bandung, Arjun</t>
        </is>
      </c>
      <c r="B5" t="inlineStr">
        <is>
          <t>Male</t>
        </is>
      </c>
      <c r="C5" t="inlineStr">
        <is>
          <t>Manager 1</t>
        </is>
      </c>
      <c r="D5" t="inlineStr">
        <is>
          <t>Fully allocated</t>
        </is>
      </c>
      <c r="E5" s="73" t="n">
        <v>1</v>
      </c>
      <c r="F5" s="73" t="n">
        <v>1</v>
      </c>
      <c r="G5" s="73" t="n">
        <v>1</v>
      </c>
      <c r="H5" s="73" t="n">
        <v>1</v>
      </c>
      <c r="I5" s="73" t="n">
        <v>1</v>
      </c>
      <c r="J5" s="73" t="n">
        <v>1</v>
      </c>
      <c r="K5" s="73" t="n">
        <v>1</v>
      </c>
      <c r="L5" s="73" t="n">
        <v>1</v>
      </c>
      <c r="M5" s="73" t="n">
        <v>1</v>
      </c>
      <c r="N5" s="73" t="n">
        <v>1</v>
      </c>
      <c r="O5" t="inlineStr">
        <is>
          <t>Current - Dummy Telco Customer 360 lakehouse (100%)
Expected end Mar 2027
Internal enablement after roll-off</t>
        </is>
      </c>
      <c r="P5">
        <f>IF($G5&gt;=100%,"NA",IF(G5=0%,"Bench","Partial Bench"))</f>
        <v/>
      </c>
      <c r="Q5" s="73" t="n">
        <v>0</v>
      </c>
      <c r="R5" s="73" t="n">
        <v>0</v>
      </c>
      <c r="S5" s="73" t="n">
        <v>0</v>
      </c>
      <c r="T5" s="73" t="n">
        <v>0</v>
      </c>
      <c r="U5" t="inlineStr">
        <is>
          <t xml:space="preserve">0%
</t>
        </is>
      </c>
      <c r="V5" s="74" t="n">
        <v>46469</v>
      </c>
      <c r="W5" t="inlineStr">
        <is>
          <t>PR</t>
        </is>
      </c>
      <c r="X5" t="inlineStr">
        <is>
          <t>Data Architecture Lead</t>
        </is>
      </c>
      <c r="Y5" t="inlineStr">
        <is>
          <t>Azure, Databricks, Synapse, Python, SQL</t>
        </is>
      </c>
      <c r="Z5" t="inlineStr">
        <is>
          <t>Enterprise Data Modelling
MDM, Integration Patterns</t>
        </is>
      </c>
      <c r="AA5">
        <f t="array" ref="AA5">_xlfn.TEXTJOIN(", ",TRUE,_xlfn._xlws.FILTER($AB$1:$AI$1,$AB5:$AI5="Yes"))</f>
        <v/>
      </c>
      <c r="AC5" t="inlineStr">
        <is>
          <t>Yes</t>
        </is>
      </c>
      <c r="AH5" t="inlineStr">
        <is>
          <t>Yes</t>
        </is>
      </c>
      <c r="AI5" t="inlineStr">
        <is>
          <t>Yes</t>
        </is>
      </c>
      <c r="AJ5" t="inlineStr">
        <is>
          <t>Principal Architect
CTO Advisory</t>
        </is>
      </c>
      <c r="AK5" t="inlineStr">
        <is>
          <t>Dummy Telco - Customer 360 lakehouse - E-71004821</t>
        </is>
      </c>
      <c r="AL5" t="inlineStr">
        <is>
          <t>Tan, Alexis</t>
        </is>
      </c>
    </row>
    <row r="6" ht="43.5" customHeight="1">
      <c r="A6" t="inlineStr">
        <is>
          <t>Milo, Nurul</t>
        </is>
      </c>
      <c r="B6" t="inlineStr">
        <is>
          <t>Female</t>
        </is>
      </c>
      <c r="C6" t="inlineStr">
        <is>
          <t>Associate 1</t>
        </is>
      </c>
      <c r="D6" t="inlineStr">
        <is>
          <t>Partially available (50% free)</t>
        </is>
      </c>
      <c r="E6" s="73" t="n">
        <v>0.5</v>
      </c>
      <c r="F6" s="73" t="n">
        <v>0.5</v>
      </c>
      <c r="G6" s="73" t="n">
        <v>0.5</v>
      </c>
      <c r="H6" s="73" t="n">
        <v>0.5</v>
      </c>
      <c r="I6" s="73" t="n">
        <v>0.5</v>
      </c>
      <c r="J6" s="73" t="n">
        <v>0.5</v>
      </c>
      <c r="K6" s="73" t="n">
        <v>0.5</v>
      </c>
      <c r="L6" s="73" t="n">
        <v>0.5</v>
      </c>
      <c r="M6" s="73" t="n">
        <v>0.5</v>
      </c>
      <c r="N6" s="73" t="n">
        <v>0.5</v>
      </c>
      <c r="O6" t="inlineStr">
        <is>
          <t>Current - Pokkatea Holdings S/4HANA data migration &amp; reporting (50%)
Expected end Nov 2026
Partial capacity open for staffing</t>
        </is>
      </c>
      <c r="P6">
        <f>IF($G6&gt;=100%,"NA",IF(G6=0%,"Bench","Partial Bench"))</f>
        <v/>
      </c>
      <c r="Q6" s="73" t="n">
        <v>0.5</v>
      </c>
      <c r="R6" s="73" t="n">
        <v>0.5</v>
      </c>
      <c r="S6" s="73" t="n">
        <v>0.5</v>
      </c>
      <c r="T6" s="73" t="n">
        <v>0.6538</v>
      </c>
      <c r="U6" t="inlineStr">
        <is>
          <t xml:space="preserve">65%
</t>
        </is>
      </c>
      <c r="V6" s="74" t="n">
        <v>46343</v>
      </c>
      <c r="W6" t="inlineStr">
        <is>
          <t>Singaporean</t>
        </is>
      </c>
      <c r="X6" t="inlineStr">
        <is>
          <t>Analytics Engineer</t>
        </is>
      </c>
      <c r="Y6" t="inlineStr">
        <is>
          <t>SQL, dbt, Power BI, Python</t>
        </is>
      </c>
      <c r="Z6" t="inlineStr">
        <is>
          <t>Semantic Modelling
Self-serve BI enablement</t>
        </is>
      </c>
      <c r="AA6">
        <f t="array" ref="AA6">_xlfn.TEXTJOIN(", ",TRUE,_xlfn._xlws.FILTER($AB$1:$AI$1,$AB6:$AI6="Yes"))</f>
        <v/>
      </c>
      <c r="AB6" t="inlineStr">
        <is>
          <t>Yes</t>
        </is>
      </c>
      <c r="AD6" t="inlineStr">
        <is>
          <t>Yes</t>
        </is>
      </c>
      <c r="AJ6" t="inlineStr">
        <is>
          <t>BI Lead
Analytics Manager</t>
        </is>
      </c>
      <c r="AK6" t="inlineStr">
        <is>
          <t>Pokkatea Holdings - S/4HANA data migration &amp; reporting - E-69379635</t>
        </is>
      </c>
      <c r="AL6" t="inlineStr">
        <is>
          <t>Liu, Vanessa</t>
        </is>
      </c>
    </row>
    <row r="7" ht="43.5" customHeight="1">
      <c r="A7" t="inlineStr">
        <is>
          <t>Horlicks, Daniel</t>
        </is>
      </c>
      <c r="B7" t="inlineStr">
        <is>
          <t>Male</t>
        </is>
      </c>
      <c r="C7" t="inlineStr">
        <is>
          <t>Senior 2</t>
        </is>
      </c>
      <c r="D7" t="inlineStr">
        <is>
          <t>Fully allocated</t>
        </is>
      </c>
      <c r="E7" s="73" t="n">
        <v>1</v>
      </c>
      <c r="F7" s="73" t="n">
        <v>1</v>
      </c>
      <c r="G7" s="73" t="n">
        <v>1</v>
      </c>
      <c r="H7" s="73" t="n">
        <v>1</v>
      </c>
      <c r="I7" s="73" t="n">
        <v>1</v>
      </c>
      <c r="J7" s="73" t="n">
        <v>1</v>
      </c>
      <c r="K7" s="73" t="n">
        <v>1</v>
      </c>
      <c r="L7" s="73" t="n">
        <v>1</v>
      </c>
      <c r="M7" s="73" t="n">
        <v>1</v>
      </c>
      <c r="N7" s="73" t="n">
        <v>1</v>
      </c>
      <c r="O7" t="inlineStr">
        <is>
          <t>Current - Dummy Gov Agency Enterprise data governance programme (100%)
Expected end May 2027
Internal enablement after roll-off</t>
        </is>
      </c>
      <c r="P7">
        <f>IF($G7&gt;=100%,"NA",IF(G7=0%,"Bench","Partial Bench"))</f>
        <v/>
      </c>
      <c r="Q7" s="73" t="n">
        <v>0</v>
      </c>
      <c r="R7" s="73" t="n">
        <v>0</v>
      </c>
      <c r="S7" s="73" t="n">
        <v>0</v>
      </c>
      <c r="T7" s="73" t="n">
        <v>0</v>
      </c>
      <c r="U7" t="inlineStr">
        <is>
          <t xml:space="preserve">0%
</t>
        </is>
      </c>
      <c r="V7" s="74" t="n">
        <v>46525</v>
      </c>
      <c r="W7" t="inlineStr">
        <is>
          <t>Long-term Pass</t>
        </is>
      </c>
      <c r="X7" t="inlineStr">
        <is>
          <t>MLOps Engineer</t>
        </is>
      </c>
      <c r="Y7" t="inlineStr">
        <is>
          <t>Python, Docker, Kubernetes, MLflow, Terraform</t>
        </is>
      </c>
      <c r="Z7" t="inlineStr">
        <is>
          <t>Feature Store
Model Monitoring, CI/CD</t>
        </is>
      </c>
      <c r="AA7">
        <f t="array" ref="AA7">_xlfn.TEXTJOIN(", ",TRUE,_xlfn._xlws.FILTER($AB$1:$AI$1,$AB7:$AI7="Yes"))</f>
        <v/>
      </c>
      <c r="AE7" t="inlineStr">
        <is>
          <t>Yes</t>
        </is>
      </c>
      <c r="AI7" t="inlineStr">
        <is>
          <t>Yes</t>
        </is>
      </c>
      <c r="AJ7" t="inlineStr">
        <is>
          <t>MLOps Lead
Platform Architect</t>
        </is>
      </c>
      <c r="AK7" t="inlineStr">
        <is>
          <t>Dummy Gov Agency - Enterprise data governance programme - E-72219904</t>
        </is>
      </c>
      <c r="AL7" t="inlineStr">
        <is>
          <t>Ng, Jordan</t>
        </is>
      </c>
    </row>
    <row r="8" ht="43.5" customHeight="1">
      <c r="A8" t="inlineStr">
        <is>
          <t>Chrysanthemum, Priya</t>
        </is>
      </c>
      <c r="B8" t="inlineStr">
        <is>
          <t>Female</t>
        </is>
      </c>
      <c r="C8" t="inlineStr">
        <is>
          <t>Associate 3</t>
        </is>
      </c>
      <c r="D8" t="inlineStr">
        <is>
          <t>Partially available (25% free)</t>
        </is>
      </c>
      <c r="E8" s="73" t="n">
        <v>0.75</v>
      </c>
      <c r="F8" s="73" t="n">
        <v>0.75</v>
      </c>
      <c r="G8" s="73" t="n">
        <v>0.75</v>
      </c>
      <c r="H8" s="73" t="n">
        <v>0.75</v>
      </c>
      <c r="I8" s="73" t="n">
        <v>0.75</v>
      </c>
      <c r="J8" s="73" t="n">
        <v>0.75</v>
      </c>
      <c r="K8" s="73" t="n">
        <v>0.75</v>
      </c>
      <c r="L8" s="73" t="n">
        <v>0.75</v>
      </c>
      <c r="M8" s="73" t="n">
        <v>0.75</v>
      </c>
      <c r="N8" s="73" t="n">
        <v>0.75</v>
      </c>
      <c r="O8" t="inlineStr">
        <is>
          <t>Current - Dummy Gov Agency Enterprise data governance programme (75%)
Expected end Dec 2026
Partial capacity open for staffing</t>
        </is>
      </c>
      <c r="P8">
        <f>IF($G8&gt;=100%,"NA",IF(G8=0%,"Bench","Partial Bench"))</f>
        <v/>
      </c>
      <c r="Q8" s="73" t="n">
        <v>0.25</v>
      </c>
      <c r="R8" s="73" t="n">
        <v>0.25</v>
      </c>
      <c r="S8" s="73" t="n">
        <v>0.25</v>
      </c>
      <c r="T8" s="73" t="n">
        <v>0.3654</v>
      </c>
      <c r="U8" t="inlineStr">
        <is>
          <t xml:space="preserve">37%
</t>
        </is>
      </c>
      <c r="V8" s="74" t="n">
        <v>46371</v>
      </c>
      <c r="W8" t="inlineStr">
        <is>
          <t>PR</t>
        </is>
      </c>
      <c r="X8" t="inlineStr">
        <is>
          <t>Data Governance Consultant</t>
        </is>
      </c>
      <c r="Y8" t="inlineStr">
        <is>
          <t>SQL, Collibra, Microsoft Purview, Data Quality</t>
        </is>
      </c>
      <c r="Z8" t="inlineStr">
        <is>
          <t>PDPA / Privacy
Metadata Management</t>
        </is>
      </c>
      <c r="AA8">
        <f t="array" ref="AA8">_xlfn.TEXTJOIN(", ",TRUE,_xlfn._xlws.FILTER($AB$1:$AI$1,$AB8:$AI8="Yes"))</f>
        <v/>
      </c>
      <c r="AF8" t="inlineStr">
        <is>
          <t>Yes</t>
        </is>
      </c>
      <c r="AG8" t="inlineStr">
        <is>
          <t>Yes</t>
        </is>
      </c>
      <c r="AJ8" t="inlineStr">
        <is>
          <t>Data Governance Lead
CDO Advisor</t>
        </is>
      </c>
      <c r="AK8" t="inlineStr">
        <is>
          <t>Dummy Gov Agency - Enterprise data governance programme - E-72219904</t>
        </is>
      </c>
      <c r="AL8" t="inlineStr">
        <is>
          <t>Ng, Jordan</t>
        </is>
      </c>
    </row>
    <row r="9" ht="43.5" customHeight="1">
      <c r="A9" t="inlineStr">
        <is>
          <t>Yakult, Marcus</t>
        </is>
      </c>
      <c r="B9" t="inlineStr">
        <is>
          <t>Male</t>
        </is>
      </c>
      <c r="C9" t="inlineStr">
        <is>
          <t>Intern (CS) 1</t>
        </is>
      </c>
      <c r="D9" t="inlineStr">
        <is>
          <t>On bench now</t>
        </is>
      </c>
      <c r="E9" s="73" t="n">
        <v>0</v>
      </c>
      <c r="F9" s="73" t="n">
        <v>0</v>
      </c>
      <c r="G9" s="73" t="n">
        <v>0</v>
      </c>
      <c r="H9" s="73" t="n">
        <v>0</v>
      </c>
      <c r="I9" s="73" t="n">
        <v>0</v>
      </c>
      <c r="J9" s="73" t="n">
        <v>0</v>
      </c>
      <c r="K9" s="73" t="n">
        <v>0</v>
      </c>
      <c r="L9" s="73" t="n">
        <v>0</v>
      </c>
      <c r="M9" s="73" t="n">
        <v>0</v>
      </c>
      <c r="N9" s="73" t="n">
        <v>0</v>
      </c>
      <c r="O9" t="inlineStr">
        <is>
          <t>On bench - available for immediate staffing</t>
        </is>
      </c>
      <c r="P9">
        <f>IF($G9&gt;=100%,"NA",IF(G9=0%,"Bench","Partial Bench"))</f>
        <v/>
      </c>
      <c r="Q9" s="73" t="n">
        <v>1</v>
      </c>
      <c r="R9" s="73" t="n">
        <v>1</v>
      </c>
      <c r="S9" s="73" t="n">
        <v>1</v>
      </c>
      <c r="T9" s="73" t="n">
        <v>1</v>
      </c>
      <c r="U9" t="inlineStr">
        <is>
          <t xml:space="preserve">100%
</t>
        </is>
      </c>
      <c r="V9" s="74" t="n"/>
      <c r="W9" t="inlineStr">
        <is>
          <t>Singaporean</t>
        </is>
      </c>
      <c r="X9" t="inlineStr">
        <is>
          <t>Tech Consultant</t>
        </is>
      </c>
      <c r="Y9" t="inlineStr">
        <is>
          <t>Python, SQL, Javascript, React</t>
        </is>
      </c>
      <c r="Z9" t="inlineStr">
        <is>
          <t>Basic ML
Scikit-learn, Pandas</t>
        </is>
      </c>
      <c r="AA9">
        <f t="array" ref="AA9">_xlfn.TEXTJOIN(", ",TRUE,_xlfn._xlws.FILTER($AB$1:$AI$1,$AB9:$AI9="Yes"))</f>
        <v/>
      </c>
      <c r="AB9" t="inlineStr">
        <is>
          <t>Yes</t>
        </is>
      </c>
      <c r="AE9" t="inlineStr">
        <is>
          <t>Yes</t>
        </is>
      </c>
      <c r="AJ9" t="inlineStr">
        <is>
          <t>Software Developer / AI Engineer</t>
        </is>
      </c>
      <c r="AK9" t="inlineStr">
        <is>
          <t>On bench</t>
        </is>
      </c>
      <c r="AL9" t="inlineStr">
        <is>
          <t>Liu, Vanessa</t>
        </is>
      </c>
    </row>
    <row r="10" ht="43.5" customHeight="1">
      <c r="A10" t="inlineStr">
        <is>
          <t>Ribena, Aisha</t>
        </is>
      </c>
      <c r="B10" t="inlineStr">
        <is>
          <t>Female</t>
        </is>
      </c>
      <c r="C10" t="inlineStr">
        <is>
          <t>Manager 2</t>
        </is>
      </c>
      <c r="D10" t="inlineStr">
        <is>
          <t>Fully allocated</t>
        </is>
      </c>
      <c r="E10" s="73" t="n">
        <v>1</v>
      </c>
      <c r="F10" s="73" t="n">
        <v>1</v>
      </c>
      <c r="G10" s="73" t="n">
        <v>1</v>
      </c>
      <c r="H10" s="73" t="n">
        <v>1</v>
      </c>
      <c r="I10" s="73" t="n">
        <v>1</v>
      </c>
      <c r="J10" s="73" t="n">
        <v>1</v>
      </c>
      <c r="K10" s="73" t="n">
        <v>1</v>
      </c>
      <c r="L10" s="73" t="n">
        <v>1</v>
      </c>
      <c r="M10" s="73" t="n">
        <v>1</v>
      </c>
      <c r="N10" s="73" t="n">
        <v>1</v>
      </c>
      <c r="O10" t="inlineStr">
        <is>
          <t>Current - Dummy Telco Customer 360 lakehouse (100%)
Expected end Jun 2027
Internal enablement after roll-off</t>
        </is>
      </c>
      <c r="P10">
        <f>IF($G10&gt;=100%,"NA",IF(G10=0%,"Bench","Partial Bench"))</f>
        <v/>
      </c>
      <c r="Q10" s="73" t="n">
        <v>0</v>
      </c>
      <c r="R10" s="73" t="n">
        <v>0</v>
      </c>
      <c r="S10" s="73" t="n">
        <v>0</v>
      </c>
      <c r="T10" s="73" t="n">
        <v>0</v>
      </c>
      <c r="U10" t="inlineStr">
        <is>
          <t xml:space="preserve">0%
</t>
        </is>
      </c>
      <c r="V10" s="74" t="n">
        <v>46553</v>
      </c>
      <c r="W10" t="inlineStr">
        <is>
          <t>Singaporean</t>
        </is>
      </c>
      <c r="X10" t="inlineStr">
        <is>
          <t>Data Strategy Manager</t>
        </is>
      </c>
      <c r="Y10" t="inlineStr">
        <is>
          <t>SQL, Azure, Power BI, Stakeholder Management</t>
        </is>
      </c>
      <c r="Z10" t="inlineStr">
        <is>
          <t>Operating Model Design
Value Case Development</t>
        </is>
      </c>
      <c r="AA10">
        <f t="array" ref="AA10">_xlfn.TEXTJOIN(", ",TRUE,_xlfn._xlws.FILTER($AB$1:$AI$1,$AB10:$AI10="Yes"))</f>
        <v/>
      </c>
      <c r="AD10" t="inlineStr">
        <is>
          <t>Yes</t>
        </is>
      </c>
      <c r="AF10" t="inlineStr">
        <is>
          <t>Yes</t>
        </is>
      </c>
      <c r="AH10" t="inlineStr">
        <is>
          <t>Yes</t>
        </is>
      </c>
      <c r="AJ10" t="inlineStr">
        <is>
          <t>Partner / Director track</t>
        </is>
      </c>
      <c r="AK10" t="inlineStr">
        <is>
          <t>Dummy Telco - Customer 360 lakehouse - E-71004821</t>
        </is>
      </c>
      <c r="AL10" t="inlineStr">
        <is>
          <t>Tan, Alexis</t>
        </is>
      </c>
    </row>
    <row r="11" ht="43.5" customHeight="1">
      <c r="A11" t="inlineStr">
        <is>
          <t>Fanta, Rahul</t>
        </is>
      </c>
      <c r="B11" t="inlineStr">
        <is>
          <t>Male</t>
        </is>
      </c>
      <c r="C11" t="inlineStr">
        <is>
          <t>Senior 1</t>
        </is>
      </c>
      <c r="D11" t="inlineStr">
        <is>
          <t>Fully allocated</t>
        </is>
      </c>
      <c r="E11" s="73" t="n">
        <v>1</v>
      </c>
      <c r="F11" s="73" t="n">
        <v>1</v>
      </c>
      <c r="G11" s="73" t="n">
        <v>1</v>
      </c>
      <c r="H11" s="73" t="n">
        <v>1</v>
      </c>
      <c r="I11" s="73" t="n">
        <v>1</v>
      </c>
      <c r="J11" s="73" t="n">
        <v>1</v>
      </c>
      <c r="K11" s="73" t="n">
        <v>1</v>
      </c>
      <c r="L11" s="73" t="n">
        <v>1</v>
      </c>
      <c r="M11" s="73" t="n">
        <v>1</v>
      </c>
      <c r="N11" s="73" t="n">
        <v>1</v>
      </c>
      <c r="O11" t="inlineStr">
        <is>
          <t>Current - Pokkatea Holdings S/4HANA data migration &amp; reporting (100%)
Expected end Jan 2027
Internal enablement after roll-off</t>
        </is>
      </c>
      <c r="P11">
        <f>IF($G11&gt;=100%,"NA",IF(G11=0%,"Bench","Partial Bench"))</f>
        <v/>
      </c>
      <c r="Q11" s="73" t="n">
        <v>0</v>
      </c>
      <c r="R11" s="73" t="n">
        <v>0</v>
      </c>
      <c r="S11" s="73" t="n">
        <v>0</v>
      </c>
      <c r="T11" s="73" t="n">
        <v>0</v>
      </c>
      <c r="U11" t="inlineStr">
        <is>
          <t xml:space="preserve">0%
</t>
        </is>
      </c>
      <c r="V11" s="74" t="n">
        <v>46413</v>
      </c>
      <c r="W11" t="inlineStr">
        <is>
          <t>Long-term Pass</t>
        </is>
      </c>
      <c r="X11" t="inlineStr">
        <is>
          <t>Cloud Data Engineer</t>
        </is>
      </c>
      <c r="Y11" t="inlineStr">
        <is>
          <t>AWS, Glue, Redshift, Python, Terraform</t>
        </is>
      </c>
      <c r="Z11" t="inlineStr">
        <is>
          <t>Streaming (Kinesis/Kafka)
Cost Optimisation</t>
        </is>
      </c>
      <c r="AA11">
        <f t="array" ref="AA11">_xlfn.TEXTJOIN(", ",TRUE,_xlfn._xlws.FILTER($AB$1:$AI$1,$AB11:$AI11="Yes"))</f>
        <v/>
      </c>
      <c r="AB11" t="inlineStr">
        <is>
          <t>Yes</t>
        </is>
      </c>
      <c r="AI11" t="inlineStr">
        <is>
          <t>Yes</t>
        </is>
      </c>
      <c r="AJ11" t="inlineStr">
        <is>
          <t>Cloud Architect
Platform Lead</t>
        </is>
      </c>
      <c r="AK11" t="inlineStr">
        <is>
          <t>Pokkatea Holdings - S/4HANA data migration &amp; reporting - E-69379635</t>
        </is>
      </c>
      <c r="AL11" t="inlineStr">
        <is>
          <t>Liu, Vanessa</t>
        </is>
      </c>
    </row>
    <row r="12" ht="43.5" customHeight="1">
      <c r="A12" t="inlineStr">
        <is>
          <t>Sprite, Hui Ling</t>
        </is>
      </c>
      <c r="B12" t="inlineStr">
        <is>
          <t>Female</t>
        </is>
      </c>
      <c r="C12" t="inlineStr">
        <is>
          <t>Associate 2</t>
        </is>
      </c>
      <c r="D12" t="inlineStr">
        <is>
          <t>Partially available (80% free)</t>
        </is>
      </c>
      <c r="E12" s="73" t="n">
        <v>0.2</v>
      </c>
      <c r="F12" s="73" t="n">
        <v>0.2</v>
      </c>
      <c r="G12" s="73" t="n">
        <v>0.2</v>
      </c>
      <c r="H12" s="73" t="n">
        <v>0.2</v>
      </c>
      <c r="I12" s="73" t="n">
        <v>0.2</v>
      </c>
      <c r="J12" s="73" t="n">
        <v>0.2</v>
      </c>
      <c r="K12" s="73" t="n">
        <v>0.2</v>
      </c>
      <c r="L12" s="73" t="n">
        <v>0.2</v>
      </c>
      <c r="M12" s="73" t="n">
        <v>0.2</v>
      </c>
      <c r="N12" s="73" t="n">
        <v>0.2</v>
      </c>
      <c r="O12" t="inlineStr">
        <is>
          <t>Current - Pokkatea Holdings S/4HANA data migration &amp; reporting (20%)
Expected end Feb 2027
Partial capacity open for staffing</t>
        </is>
      </c>
      <c r="P12">
        <f>IF($G12&gt;=100%,"NA",IF(G12=0%,"Bench","Partial Bench"))</f>
        <v/>
      </c>
      <c r="Q12" s="73" t="n">
        <v>0.8</v>
      </c>
      <c r="R12" s="73" t="n">
        <v>0.8</v>
      </c>
      <c r="S12" s="73" t="n">
        <v>0.8</v>
      </c>
      <c r="T12" s="73" t="n">
        <v>0.8</v>
      </c>
      <c r="U12" t="inlineStr">
        <is>
          <t xml:space="preserve">80%
</t>
        </is>
      </c>
      <c r="V12" s="74" t="n">
        <v>46427</v>
      </c>
      <c r="W12" t="inlineStr">
        <is>
          <t>Singaporean</t>
        </is>
      </c>
      <c r="X12" t="inlineStr">
        <is>
          <t>BI Developer</t>
        </is>
      </c>
      <c r="Y12" t="inlineStr">
        <is>
          <t>Power BI, SQL, DAX, Azure Synapse</t>
        </is>
      </c>
      <c r="Z12" t="inlineStr">
        <is>
          <t>Data Visualisation
Reporting Automation</t>
        </is>
      </c>
      <c r="AA12">
        <f t="array" ref="AA12">_xlfn.TEXTJOIN(", ",TRUE,_xlfn._xlws.FILTER($AB$1:$AI$1,$AB12:$AI12="Yes"))</f>
        <v/>
      </c>
      <c r="AD12" t="inlineStr">
        <is>
          <t>Yes</t>
        </is>
      </c>
      <c r="AJ12" t="inlineStr">
        <is>
          <t>Analytics Engineer
BI Lead</t>
        </is>
      </c>
      <c r="AK12" t="inlineStr">
        <is>
          <t>Pokkatea Holdings - S/4HANA data migration &amp; reporting - E-69379635</t>
        </is>
      </c>
      <c r="AL12" t="inlineStr">
        <is>
          <t>Liu, Vanessa</t>
        </is>
      </c>
    </row>
    <row r="13" ht="43.5" customHeight="1">
      <c r="A13" t="inlineStr">
        <is>
          <t>Pocari, Kenji</t>
        </is>
      </c>
      <c r="B13" t="inlineStr">
        <is>
          <t>Male</t>
        </is>
      </c>
      <c r="C13" t="inlineStr">
        <is>
          <t>Senior 2</t>
        </is>
      </c>
      <c r="D13" t="inlineStr">
        <is>
          <t>Fully allocated</t>
        </is>
      </c>
      <c r="E13" s="73" t="n">
        <v>1</v>
      </c>
      <c r="F13" s="73" t="n">
        <v>1</v>
      </c>
      <c r="G13" s="73" t="n">
        <v>1</v>
      </c>
      <c r="H13" s="73" t="n">
        <v>1</v>
      </c>
      <c r="I13" s="73" t="n">
        <v>1</v>
      </c>
      <c r="J13" s="73" t="n">
        <v>1</v>
      </c>
      <c r="K13" s="73" t="n">
        <v>1</v>
      </c>
      <c r="L13" s="73" t="n">
        <v>1</v>
      </c>
      <c r="M13" s="73" t="n">
        <v>1</v>
      </c>
      <c r="N13" s="73" t="n">
        <v>1</v>
      </c>
      <c r="O13" t="inlineStr">
        <is>
          <t>Current - Dummy Gov Agency Enterprise data governance programme (100%)
Expected end Jun 2027
Internal enablement after roll-off</t>
        </is>
      </c>
      <c r="P13">
        <f>IF($G13&gt;=100%,"NA",IF(G13=0%,"Bench","Partial Bench"))</f>
        <v/>
      </c>
      <c r="Q13" s="73" t="n">
        <v>0</v>
      </c>
      <c r="R13" s="73" t="n">
        <v>0</v>
      </c>
      <c r="S13" s="73" t="n">
        <v>0</v>
      </c>
      <c r="T13" s="73" t="n">
        <v>0</v>
      </c>
      <c r="U13" t="inlineStr">
        <is>
          <t xml:space="preserve">0%
</t>
        </is>
      </c>
      <c r="V13" s="74" t="n">
        <v>46567</v>
      </c>
      <c r="W13" t="inlineStr">
        <is>
          <t>PR</t>
        </is>
      </c>
      <c r="X13" t="inlineStr">
        <is>
          <t>Data Scientist</t>
        </is>
      </c>
      <c r="Y13" t="inlineStr">
        <is>
          <t>Python, scikit-learn, XGBoost, SQL</t>
        </is>
      </c>
      <c r="Z13" t="inlineStr">
        <is>
          <t>Forecasting
Causal Inference</t>
        </is>
      </c>
      <c r="AA13">
        <f t="array" ref="AA13">_xlfn.TEXTJOIN(", ",TRUE,_xlfn._xlws.FILTER($AB$1:$AI$1,$AB13:$AI13="Yes"))</f>
        <v/>
      </c>
      <c r="AD13" t="inlineStr">
        <is>
          <t>Yes</t>
        </is>
      </c>
      <c r="AE13" t="inlineStr">
        <is>
          <t>Yes</t>
        </is>
      </c>
      <c r="AJ13" t="inlineStr">
        <is>
          <t>Principal Data Scientist
AI Product Owner</t>
        </is>
      </c>
      <c r="AK13" t="inlineStr">
        <is>
          <t>Dummy Gov Agency - Enterprise data governance programme - E-72219904</t>
        </is>
      </c>
      <c r="AL13" t="inlineStr">
        <is>
          <t>Ng, Jordan</t>
        </is>
      </c>
    </row>
    <row r="14" ht="43.5" customHeight="1">
      <c r="A14" t="inlineStr">
        <is>
          <t>Calpis, Sofia</t>
        </is>
      </c>
      <c r="B14" t="inlineStr">
        <is>
          <t>Female</t>
        </is>
      </c>
      <c r="C14" t="inlineStr">
        <is>
          <t>Associate 1</t>
        </is>
      </c>
      <c r="D14" t="inlineStr">
        <is>
          <t>Partially available (40% free)</t>
        </is>
      </c>
      <c r="E14" s="73" t="n">
        <v>0.6</v>
      </c>
      <c r="F14" s="73" t="n">
        <v>0.6</v>
      </c>
      <c r="G14" s="73" t="n">
        <v>0.6</v>
      </c>
      <c r="H14" s="73" t="n">
        <v>0.6</v>
      </c>
      <c r="I14" s="73" t="n">
        <v>0.6</v>
      </c>
      <c r="J14" s="73" t="n">
        <v>0.6</v>
      </c>
      <c r="K14" s="73" t="n">
        <v>0.6</v>
      </c>
      <c r="L14" s="73" t="n">
        <v>0.6</v>
      </c>
      <c r="M14" s="73" t="n">
        <v>0.6</v>
      </c>
      <c r="N14" s="73" t="n">
        <v>0.6</v>
      </c>
      <c r="O14" t="inlineStr">
        <is>
          <t>Current - Dummy Telco Customer 360 lakehouse (60%)
Expected end Apr 2027
Partial capacity open for staffing</t>
        </is>
      </c>
      <c r="P14">
        <f>IF($G14&gt;=100%,"NA",IF(G14=0%,"Bench","Partial Bench"))</f>
        <v/>
      </c>
      <c r="Q14" s="73" t="n">
        <v>0.4</v>
      </c>
      <c r="R14" s="73" t="n">
        <v>0.4</v>
      </c>
      <c r="S14" s="73" t="n">
        <v>0.4</v>
      </c>
      <c r="T14" s="73" t="n">
        <v>0.4</v>
      </c>
      <c r="U14" t="inlineStr">
        <is>
          <t xml:space="preserve">40%
</t>
        </is>
      </c>
      <c r="V14" s="74" t="n">
        <v>46497</v>
      </c>
      <c r="W14" t="inlineStr">
        <is>
          <t>Singaporean</t>
        </is>
      </c>
      <c r="X14" t="inlineStr">
        <is>
          <t>Data Steward</t>
        </is>
      </c>
      <c r="Y14" t="inlineStr">
        <is>
          <t>SQL, Great Expectations, Collibra</t>
        </is>
      </c>
      <c r="Z14" t="inlineStr">
        <is>
          <t>Data Quality Rules
Issue Remediation</t>
        </is>
      </c>
      <c r="AA14">
        <f t="array" ref="AA14">_xlfn.TEXTJOIN(", ",TRUE,_xlfn._xlws.FILTER($AB$1:$AI$1,$AB14:$AI14="Yes"))</f>
        <v/>
      </c>
      <c r="AF14" t="inlineStr">
        <is>
          <t>Yes</t>
        </is>
      </c>
      <c r="AJ14" t="inlineStr">
        <is>
          <t>Data Governance Consultant</t>
        </is>
      </c>
      <c r="AK14" t="inlineStr">
        <is>
          <t>Dummy Telco - Customer 360 lakehouse - E-71004821</t>
        </is>
      </c>
      <c r="AL14" t="inlineStr">
        <is>
          <t>Tan, Alexis</t>
        </is>
      </c>
    </row>
    <row r="15" ht="43.5" customHeight="1">
      <c r="A15" t="inlineStr">
        <is>
          <t>Oolong, Bryan</t>
        </is>
      </c>
      <c r="B15" t="inlineStr">
        <is>
          <t>Male</t>
        </is>
      </c>
      <c r="C15" t="inlineStr">
        <is>
          <t>Manager 1</t>
        </is>
      </c>
      <c r="D15" t="inlineStr">
        <is>
          <t>Fully allocated</t>
        </is>
      </c>
      <c r="E15" s="73" t="n">
        <v>1</v>
      </c>
      <c r="F15" s="73" t="n">
        <v>1</v>
      </c>
      <c r="G15" s="73" t="n">
        <v>1</v>
      </c>
      <c r="H15" s="73" t="n">
        <v>1</v>
      </c>
      <c r="I15" s="73" t="n">
        <v>1</v>
      </c>
      <c r="J15" s="73" t="n">
        <v>1</v>
      </c>
      <c r="K15" s="73" t="n">
        <v>1</v>
      </c>
      <c r="L15" s="73" t="n">
        <v>1</v>
      </c>
      <c r="M15" s="73" t="n">
        <v>1</v>
      </c>
      <c r="N15" s="73" t="n">
        <v>1</v>
      </c>
      <c r="O15" t="inlineStr">
        <is>
          <t>Current - Dummy Gov Agency Enterprise data governance programme (100%)
Expected end Mar 2027
Internal enablement after roll-off</t>
        </is>
      </c>
      <c r="P15">
        <f>IF($G15&gt;=100%,"NA",IF(G15=0%,"Bench","Partial Bench"))</f>
        <v/>
      </c>
      <c r="Q15" s="73" t="n">
        <v>0</v>
      </c>
      <c r="R15" s="73" t="n">
        <v>0</v>
      </c>
      <c r="S15" s="73" t="n">
        <v>0</v>
      </c>
      <c r="T15" s="73" t="n">
        <v>0</v>
      </c>
      <c r="U15" t="inlineStr">
        <is>
          <t xml:space="preserve">0%
</t>
        </is>
      </c>
      <c r="V15" s="74" t="n">
        <v>46455</v>
      </c>
      <c r="W15" t="inlineStr">
        <is>
          <t>Singaporean</t>
        </is>
      </c>
      <c r="X15" t="inlineStr">
        <is>
          <t>Engagement Manager - Data</t>
        </is>
      </c>
      <c r="Y15" t="inlineStr">
        <is>
          <t>Azure, Databricks, Delivery Management, SQL</t>
        </is>
      </c>
      <c r="Z15" t="inlineStr">
        <is>
          <t>Agile Delivery
Commercials / SOW</t>
        </is>
      </c>
      <c r="AA15">
        <f t="array" ref="AA15">_xlfn.TEXTJOIN(", ",TRUE,_xlfn._xlws.FILTER($AB$1:$AI$1,$AB15:$AI15="Yes"))</f>
        <v/>
      </c>
      <c r="AC15" t="inlineStr">
        <is>
          <t>Yes</t>
        </is>
      </c>
      <c r="AH15" t="inlineStr">
        <is>
          <t>Yes</t>
        </is>
      </c>
      <c r="AI15" t="inlineStr">
        <is>
          <t>Yes</t>
        </is>
      </c>
      <c r="AJ15" t="inlineStr">
        <is>
          <t>Senior Manager
Portfolio Lead</t>
        </is>
      </c>
      <c r="AK15" t="inlineStr">
        <is>
          <t>Dummy Gov Agency - Enterprise data governance programme - E-72219904</t>
        </is>
      </c>
      <c r="AL15" t="inlineStr">
        <is>
          <t>Ng, Jordan</t>
        </is>
      </c>
    </row>
    <row r="16" ht="43.5" customHeight="1">
      <c r="A16" t="inlineStr">
        <is>
          <t>Matcha, Divya</t>
        </is>
      </c>
      <c r="B16" t="inlineStr">
        <is>
          <t>Female</t>
        </is>
      </c>
      <c r="C16" t="inlineStr">
        <is>
          <t>Senior 1</t>
        </is>
      </c>
      <c r="D16" t="inlineStr">
        <is>
          <t>Fully allocated</t>
        </is>
      </c>
      <c r="E16" s="73" t="n">
        <v>1</v>
      </c>
      <c r="F16" s="73" t="n">
        <v>1</v>
      </c>
      <c r="G16" s="73" t="n">
        <v>1</v>
      </c>
      <c r="H16" s="73" t="n">
        <v>1</v>
      </c>
      <c r="I16" s="73" t="n">
        <v>1</v>
      </c>
      <c r="J16" s="73" t="n">
        <v>1</v>
      </c>
      <c r="K16" s="73" t="n">
        <v>1</v>
      </c>
      <c r="L16" s="73" t="n">
        <v>1</v>
      </c>
      <c r="M16" s="73" t="n">
        <v>1</v>
      </c>
      <c r="N16" s="73" t="n">
        <v>1</v>
      </c>
      <c r="O16" t="inlineStr">
        <is>
          <t>Current - Dummy Telco Customer 360 lakehouse (100%)
Expected end Nov 2026
Internal enablement after roll-off</t>
        </is>
      </c>
      <c r="P16">
        <f>IF($G16&gt;=100%,"NA",IF(G16=0%,"Bench","Partial Bench"))</f>
        <v/>
      </c>
      <c r="Q16" s="73" t="n">
        <v>0</v>
      </c>
      <c r="R16" s="73" t="n">
        <v>0</v>
      </c>
      <c r="S16" s="73" t="n">
        <v>0</v>
      </c>
      <c r="T16" s="73" t="n">
        <v>0.3846</v>
      </c>
      <c r="U16" t="inlineStr">
        <is>
          <t xml:space="preserve">38%
</t>
        </is>
      </c>
      <c r="V16" s="74" t="n">
        <v>46329</v>
      </c>
      <c r="W16" t="inlineStr">
        <is>
          <t>PR</t>
        </is>
      </c>
      <c r="X16" t="inlineStr">
        <is>
          <t>Privacy &amp; Security Consultant</t>
        </is>
      </c>
      <c r="Y16" t="inlineStr">
        <is>
          <t>SQL, Purview, Azure AD, PDPA controls</t>
        </is>
      </c>
      <c r="Z16" t="inlineStr">
        <is>
          <t>Access Governance
Data Classification</t>
        </is>
      </c>
      <c r="AA16">
        <f t="array" ref="AA16">_xlfn.TEXTJOIN(", ",TRUE,_xlfn._xlws.FILTER($AB$1:$AI$1,$AB16:$AI16="Yes"))</f>
        <v/>
      </c>
      <c r="AF16" t="inlineStr">
        <is>
          <t>Yes</t>
        </is>
      </c>
      <c r="AG16" t="inlineStr">
        <is>
          <t>Yes</t>
        </is>
      </c>
      <c r="AJ16" t="inlineStr">
        <is>
          <t>Data Security Lead</t>
        </is>
      </c>
      <c r="AK16" t="inlineStr">
        <is>
          <t>Dummy Telco - Customer 360 lakehouse - E-71004821</t>
        </is>
      </c>
      <c r="AL16" t="inlineStr">
        <is>
          <t>Tan, Alexis</t>
        </is>
      </c>
    </row>
    <row r="17" ht="43.5" customHeight="1">
      <c r="A17" t="inlineStr">
        <is>
          <t>Soybean, Ethan</t>
        </is>
      </c>
      <c r="B17" t="inlineStr">
        <is>
          <t>Male</t>
        </is>
      </c>
      <c r="C17" t="inlineStr">
        <is>
          <t>Associate 3</t>
        </is>
      </c>
      <c r="D17" t="inlineStr">
        <is>
          <t>Partially available (50% free)</t>
        </is>
      </c>
      <c r="E17" s="73" t="n">
        <v>0.5</v>
      </c>
      <c r="F17" s="73" t="n">
        <v>0</v>
      </c>
      <c r="G17" s="73" t="n">
        <v>0.5</v>
      </c>
      <c r="H17" s="73" t="n">
        <v>0.5</v>
      </c>
      <c r="I17" s="73" t="n">
        <v>0.5</v>
      </c>
      <c r="J17" s="73" t="n">
        <v>0.5</v>
      </c>
      <c r="K17" s="73" t="n">
        <v>0.5</v>
      </c>
      <c r="L17" s="73" t="n">
        <v>0.5</v>
      </c>
      <c r="M17" s="73" t="n">
        <v>0.5</v>
      </c>
      <c r="N17" s="73" t="n">
        <v>0.5</v>
      </c>
      <c r="O17" t="inlineStr">
        <is>
          <t>Current - Dummy Gov Agency Enterprise data governance programme (50%)
Expected end Oct 2026
Partial capacity open for staffing</t>
        </is>
      </c>
      <c r="P17">
        <f>IF($G17&gt;=100%,"NA",IF(G17=0%,"Bench","Partial Bench"))</f>
        <v/>
      </c>
      <c r="Q17" s="73" t="n">
        <v>0.5</v>
      </c>
      <c r="R17" s="73" t="n">
        <v>0.5</v>
      </c>
      <c r="S17" s="73" t="n">
        <v>0.5</v>
      </c>
      <c r="T17" s="73" t="n">
        <v>0.7692</v>
      </c>
      <c r="U17" t="inlineStr">
        <is>
          <t xml:space="preserve">77%
</t>
        </is>
      </c>
      <c r="V17" s="74" t="n">
        <v>46301</v>
      </c>
      <c r="W17" t="inlineStr">
        <is>
          <t>Singaporean</t>
        </is>
      </c>
      <c r="X17" t="inlineStr">
        <is>
          <t>Platform Engineer</t>
        </is>
      </c>
      <c r="Y17" t="inlineStr">
        <is>
          <t>Python, Kubernetes, Terraform, GitHub Actions</t>
        </is>
      </c>
      <c r="Z17" t="inlineStr">
        <is>
          <t>Observability
DevOps for Data</t>
        </is>
      </c>
      <c r="AA17">
        <f t="array" ref="AA17">_xlfn.TEXTJOIN(", ",TRUE,_xlfn._xlws.FILTER($AB$1:$AI$1,$AB17:$AI17="Yes"))</f>
        <v/>
      </c>
      <c r="AB17" t="inlineStr">
        <is>
          <t>Yes</t>
        </is>
      </c>
      <c r="AI17" t="inlineStr">
        <is>
          <t>Yes</t>
        </is>
      </c>
      <c r="AJ17" t="inlineStr">
        <is>
          <t>MLOps Engineer
Platform Architect</t>
        </is>
      </c>
      <c r="AK17" t="inlineStr">
        <is>
          <t>Dummy Gov Agency - Enterprise data governance programme - E-72219904</t>
        </is>
      </c>
      <c r="AL17" t="inlineStr">
        <is>
          <t>Ng, Jordan</t>
        </is>
      </c>
    </row>
    <row r="18" ht="43.5" customHeight="1">
      <c r="A18" t="inlineStr">
        <is>
          <t>Ginger, Chloe</t>
        </is>
      </c>
      <c r="B18" t="inlineStr">
        <is>
          <t>Female</t>
        </is>
      </c>
      <c r="C18" t="inlineStr">
        <is>
          <t>Senior 2</t>
        </is>
      </c>
      <c r="D18" t="inlineStr">
        <is>
          <t>Fully allocated</t>
        </is>
      </c>
      <c r="E18" s="73" t="n">
        <v>1</v>
      </c>
      <c r="F18" s="73" t="n">
        <v>1</v>
      </c>
      <c r="G18" s="73" t="n">
        <v>1</v>
      </c>
      <c r="H18" s="73" t="n">
        <v>1</v>
      </c>
      <c r="I18" s="73" t="n">
        <v>1</v>
      </c>
      <c r="J18" s="73" t="n">
        <v>1</v>
      </c>
      <c r="K18" s="73" t="n">
        <v>1</v>
      </c>
      <c r="L18" s="73" t="n">
        <v>1</v>
      </c>
      <c r="M18" s="73" t="n">
        <v>1</v>
      </c>
      <c r="N18" s="73" t="n">
        <v>1</v>
      </c>
      <c r="O18" t="inlineStr">
        <is>
          <t>Current - Pokkatea Holdings S/4HANA data migration &amp; reporting (100%)
Expected end Jan 2027
Internal enablement after roll-off</t>
        </is>
      </c>
      <c r="P18">
        <f>IF($G18&gt;=100%,"NA",IF(G18=0%,"Bench","Partial Bench"))</f>
        <v/>
      </c>
      <c r="Q18" s="73" t="n">
        <v>0</v>
      </c>
      <c r="R18" s="73" t="n">
        <v>0</v>
      </c>
      <c r="S18" s="73" t="n">
        <v>0</v>
      </c>
      <c r="T18" s="73" t="n">
        <v>0</v>
      </c>
      <c r="U18" t="inlineStr">
        <is>
          <t xml:space="preserve">0%
</t>
        </is>
      </c>
      <c r="V18" s="74" t="n">
        <v>46399</v>
      </c>
      <c r="W18" t="inlineStr">
        <is>
          <t>Singaporean</t>
        </is>
      </c>
      <c r="X18" t="inlineStr">
        <is>
          <t>Analytics Consultant</t>
        </is>
      </c>
      <c r="Y18" t="inlineStr">
        <is>
          <t>SQL, Python, Tableau, Snowflake</t>
        </is>
      </c>
      <c r="Z18" t="inlineStr">
        <is>
          <t>Executive Dashboards
KPI Frameworks</t>
        </is>
      </c>
      <c r="AA18">
        <f t="array" ref="AA18">_xlfn.TEXTJOIN(", ",TRUE,_xlfn._xlws.FILTER($AB$1:$AI$1,$AB18:$AI18="Yes"))</f>
        <v/>
      </c>
      <c r="AD18" t="inlineStr">
        <is>
          <t>Yes</t>
        </is>
      </c>
      <c r="AH18" t="inlineStr">
        <is>
          <t>Yes</t>
        </is>
      </c>
      <c r="AJ18" t="inlineStr">
        <is>
          <t>Manager - Insights</t>
        </is>
      </c>
      <c r="AK18" t="inlineStr">
        <is>
          <t>Pokkatea Holdings - S/4HANA data migration &amp; reporting - E-69379635</t>
        </is>
      </c>
      <c r="AL18" t="inlineStr">
        <is>
          <t>Liu, Vanessa</t>
        </is>
      </c>
    </row>
    <row r="19" ht="43.5" customHeight="1">
      <c r="A19" t="inlineStr">
        <is>
          <t>Barley, Farhan</t>
        </is>
      </c>
      <c r="B19" t="inlineStr">
        <is>
          <t>Male</t>
        </is>
      </c>
      <c r="C19" t="inlineStr">
        <is>
          <t>Associate 2</t>
        </is>
      </c>
      <c r="D19" t="inlineStr">
        <is>
          <t>Fully allocated</t>
        </is>
      </c>
      <c r="E19" s="73" t="n">
        <v>1</v>
      </c>
      <c r="F19" s="73" t="n">
        <v>1</v>
      </c>
      <c r="G19" s="73" t="n">
        <v>1</v>
      </c>
      <c r="H19" s="73" t="n">
        <v>1</v>
      </c>
      <c r="I19" s="73" t="n">
        <v>1</v>
      </c>
      <c r="J19" s="73" t="n">
        <v>1</v>
      </c>
      <c r="K19" s="73" t="n">
        <v>1</v>
      </c>
      <c r="L19" s="73" t="n">
        <v>1</v>
      </c>
      <c r="M19" s="73" t="n">
        <v>1</v>
      </c>
      <c r="N19" s="73" t="n">
        <v>1</v>
      </c>
      <c r="O19" t="inlineStr">
        <is>
          <t>Current - Dummy Telco Customer 360 lakehouse (100%)
Expected end Dec 2026
Internal enablement after roll-off</t>
        </is>
      </c>
      <c r="P19">
        <f>IF($G19&gt;=100%,"NA",IF(G19=0%,"Bench","Partial Bench"))</f>
        <v/>
      </c>
      <c r="Q19" s="73" t="n">
        <v>0</v>
      </c>
      <c r="R19" s="73" t="n">
        <v>0</v>
      </c>
      <c r="S19" s="73" t="n">
        <v>0</v>
      </c>
      <c r="T19" s="73" t="n">
        <v>0.2308</v>
      </c>
      <c r="U19" t="inlineStr">
        <is>
          <t xml:space="preserve">23%
</t>
        </is>
      </c>
      <c r="V19" s="74" t="n">
        <v>46357</v>
      </c>
      <c r="W19" t="inlineStr">
        <is>
          <t>Long-term Pass</t>
        </is>
      </c>
      <c r="X19" t="inlineStr">
        <is>
          <t>GenAI Engineer</t>
        </is>
      </c>
      <c r="Y19" t="inlineStr">
        <is>
          <t>Python, LangChain, Azure OpenAI, Vector DBs</t>
        </is>
      </c>
      <c r="Z19" t="inlineStr">
        <is>
          <t>RAG Patterns
Evaluation Harnesses</t>
        </is>
      </c>
      <c r="AA19">
        <f t="array" ref="AA19">_xlfn.TEXTJOIN(", ",TRUE,_xlfn._xlws.FILTER($AB$1:$AI$1,$AB19:$AI19="Yes"))</f>
        <v/>
      </c>
      <c r="AB19" t="inlineStr">
        <is>
          <t>Yes</t>
        </is>
      </c>
      <c r="AE19" t="inlineStr">
        <is>
          <t>Yes</t>
        </is>
      </c>
      <c r="AJ19" t="inlineStr">
        <is>
          <t>AI Engineer
GenAI Lead</t>
        </is>
      </c>
      <c r="AK19" t="inlineStr">
        <is>
          <t>Dummy Telco - Customer 360 lakehouse - E-71004821</t>
        </is>
      </c>
      <c r="AL19" t="inlineStr">
        <is>
          <t>Tan, Alexis</t>
        </is>
      </c>
    </row>
    <row r="20" ht="43.5" customHeight="1">
      <c r="A20" t="inlineStr">
        <is>
          <t>Coconut, Grace</t>
        </is>
      </c>
      <c r="B20" t="inlineStr">
        <is>
          <t>Female</t>
        </is>
      </c>
      <c r="C20" t="inlineStr">
        <is>
          <t>Intern (CS) 1</t>
        </is>
      </c>
      <c r="D20" t="inlineStr">
        <is>
          <t>On bench now</t>
        </is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 t="n">
        <v>0</v>
      </c>
      <c r="O20" t="inlineStr">
        <is>
          <t>On bench - available for immediate staffing</t>
        </is>
      </c>
      <c r="P20">
        <f>IF($G20&gt;=100%,"NA",IF(G20=0%,"Bench","Partial Bench"))</f>
        <v/>
      </c>
      <c r="Q20" s="73" t="n">
        <v>1</v>
      </c>
      <c r="R20" s="73" t="n">
        <v>1</v>
      </c>
      <c r="S20" s="73" t="n">
        <v>1</v>
      </c>
      <c r="T20" s="73" t="n">
        <v>1</v>
      </c>
      <c r="U20" t="inlineStr">
        <is>
          <t xml:space="preserve">100%
</t>
        </is>
      </c>
      <c r="V20" s="74" t="n"/>
      <c r="W20" t="inlineStr">
        <is>
          <t>Singaporean</t>
        </is>
      </c>
      <c r="X20" t="inlineStr">
        <is>
          <t>Tech Consultant</t>
        </is>
      </c>
      <c r="Y20" t="inlineStr">
        <is>
          <t>Python, SQL, Excel, Power BI</t>
        </is>
      </c>
      <c r="Z20" t="inlineStr">
        <is>
          <t>Data Cleaning
Basic Visualisation</t>
        </is>
      </c>
      <c r="AA20">
        <f t="array" ref="AA20">_xlfn.TEXTJOIN(", ",TRUE,_xlfn._xlws.FILTER($AB$1:$AI$1,$AB20:$AI20="Yes"))</f>
        <v/>
      </c>
      <c r="AB20" t="inlineStr">
        <is>
          <t>Yes</t>
        </is>
      </c>
      <c r="AD20" t="inlineStr">
        <is>
          <t>Yes</t>
        </is>
      </c>
      <c r="AJ20" t="inlineStr">
        <is>
          <t>Analytics Engineer</t>
        </is>
      </c>
      <c r="AK20" t="inlineStr">
        <is>
          <t>On bench</t>
        </is>
      </c>
      <c r="AL20" t="inlineStr">
        <is>
          <t>Ng, Jordan</t>
        </is>
      </c>
    </row>
    <row r="21" ht="43.5" customHeight="1">
      <c r="A21" t="inlineStr">
        <is>
          <t>Lemongrass, Ravi</t>
        </is>
      </c>
      <c r="B21" t="inlineStr">
        <is>
          <t>Male</t>
        </is>
      </c>
      <c r="C21" t="inlineStr">
        <is>
          <t>Manager 2</t>
        </is>
      </c>
      <c r="D21" t="inlineStr">
        <is>
          <t>Fully allocated</t>
        </is>
      </c>
      <c r="E21" s="73" t="n">
        <v>1</v>
      </c>
      <c r="F21" s="73" t="n">
        <v>1</v>
      </c>
      <c r="G21" s="73" t="n">
        <v>1</v>
      </c>
      <c r="H21" s="73" t="n">
        <v>1</v>
      </c>
      <c r="I21" s="73" t="n">
        <v>1</v>
      </c>
      <c r="J21" s="73" t="n">
        <v>1</v>
      </c>
      <c r="K21" s="73" t="n">
        <v>1</v>
      </c>
      <c r="L21" s="73" t="n">
        <v>1</v>
      </c>
      <c r="M21" s="73" t="n">
        <v>1</v>
      </c>
      <c r="N21" s="73" t="n">
        <v>1</v>
      </c>
      <c r="O21" t="inlineStr">
        <is>
          <t>Current - Dummy Gov Agency Enterprise data governance programme (100%)
Expected end Aug 2027
Internal enablement after roll-off</t>
        </is>
      </c>
      <c r="P21">
        <f>IF($G21&gt;=100%,"NA",IF(G21=0%,"Bench","Partial Bench"))</f>
        <v/>
      </c>
      <c r="Q21" s="73" t="n">
        <v>0</v>
      </c>
      <c r="R21" s="73" t="n">
        <v>0</v>
      </c>
      <c r="S21" s="73" t="n">
        <v>0</v>
      </c>
      <c r="T21" s="73" t="n">
        <v>0</v>
      </c>
      <c r="U21" t="inlineStr">
        <is>
          <t xml:space="preserve">0%
</t>
        </is>
      </c>
      <c r="V21" s="74" t="n">
        <v>46602</v>
      </c>
      <c r="W21" t="inlineStr">
        <is>
          <t>Singaporean</t>
        </is>
      </c>
      <c r="X21" t="inlineStr">
        <is>
          <t>Data Platform Manager</t>
        </is>
      </c>
      <c r="Y21" t="inlineStr">
        <is>
          <t>Databricks, Spark, Azure, FinOps</t>
        </is>
      </c>
      <c r="Z21" t="inlineStr">
        <is>
          <t>Platform Roadmaps
Team Leadership</t>
        </is>
      </c>
      <c r="AA21">
        <f t="array" ref="AA21">_xlfn.TEXTJOIN(", ",TRUE,_xlfn._xlws.FILTER($AB$1:$AI$1,$AB21:$AI21="Yes"))</f>
        <v/>
      </c>
      <c r="AC21" t="inlineStr">
        <is>
          <t>Yes</t>
        </is>
      </c>
      <c r="AH21" t="inlineStr">
        <is>
          <t>Yes</t>
        </is>
      </c>
      <c r="AI21" t="inlineStr">
        <is>
          <t>Yes</t>
        </is>
      </c>
      <c r="AJ21" t="inlineStr">
        <is>
          <t>Senior Manager - Platforms</t>
        </is>
      </c>
      <c r="AK21" t="inlineStr">
        <is>
          <t>Dummy Gov Agency - Enterprise data governance programme - E-72219904</t>
        </is>
      </c>
      <c r="AL21" t="inlineStr">
        <is>
          <t>Ng, Jordan</t>
        </is>
      </c>
    </row>
    <row r="22" ht="43.5" customHeight="1"/>
    <row r="23" ht="43.5" customHeight="1"/>
    <row r="24" ht="43.5" customHeight="1"/>
    <row r="25" ht="43.5" customHeight="1"/>
    <row r="26" ht="43.5" customHeight="1"/>
    <row r="27" ht="43.5" customHeight="1"/>
    <row r="28" ht="43.5" customHeight="1"/>
    <row r="29" ht="43.5" customHeight="1"/>
    <row r="30" ht="43.5" customHeight="1"/>
    <row r="31" ht="43.5" customHeight="1"/>
    <row r="32" ht="43.5" customHeight="1"/>
    <row r="33" ht="43.5" customHeight="1"/>
    <row r="34" ht="43.5" customHeight="1"/>
    <row r="35" ht="43.5" customHeight="1"/>
    <row r="36" ht="43.5" customHeight="1"/>
    <row r="37" ht="43.5" customHeight="1"/>
    <row r="38" ht="43.5" customHeight="1"/>
    <row r="39" ht="43.5" customHeight="1"/>
    <row r="40" ht="43.5" customHeight="1"/>
    <row r="41" ht="43.5" customHeight="1"/>
    <row r="42" ht="43.5" customHeight="1"/>
    <row r="43" ht="43.5" customHeight="1"/>
    <row r="44" ht="43.5" customHeight="1"/>
    <row r="45" ht="43.5" customHeight="1"/>
    <row r="46" ht="43.5" customHeight="1"/>
    <row r="47" ht="43.5" customHeight="1"/>
    <row r="48" ht="43.5" customHeight="1"/>
    <row r="49" ht="43.5" customHeight="1"/>
    <row r="50" ht="43.5" customHeight="1"/>
    <row r="51" ht="43.5" customHeight="1"/>
    <row r="52" ht="43.5" customHeight="1"/>
    <row r="53" ht="43.5" customHeight="1"/>
    <row r="54" ht="43.5" customHeight="1"/>
    <row r="55" ht="43.5" customHeight="1"/>
    <row r="56" ht="43.5" customHeight="1"/>
    <row r="57" ht="43.5" customHeight="1"/>
    <row r="58" ht="43.5" customHeight="1"/>
    <row r="59" ht="43.5" customHeight="1"/>
    <row r="60" ht="43.5" customHeight="1"/>
    <row r="61" ht="43.5" customHeight="1"/>
    <row r="62" ht="43.5" customHeight="1"/>
    <row r="63" ht="43.5" customHeight="1"/>
    <row r="64" ht="43.5" customHeight="1"/>
    <row r="65" ht="43.5" customHeight="1"/>
    <row r="66" ht="43.5" customHeight="1"/>
    <row r="67" ht="43.5" customHeight="1"/>
    <row r="68" ht="43.5" customHeight="1"/>
    <row r="69" ht="43.5" customHeight="1"/>
    <row r="70" ht="43.5" customHeight="1"/>
    <row r="71" ht="43.5" customHeight="1"/>
    <row r="72" ht="43.5" customHeight="1"/>
    <row r="73" ht="43.5" customHeight="1"/>
    <row r="74" ht="43.5" customHeight="1"/>
    <row r="75" ht="43.5" customHeight="1"/>
    <row r="76" ht="43.5" customHeight="1"/>
    <row r="77" ht="43.5" customHeight="1"/>
    <row r="78" ht="43.5" customHeight="1"/>
    <row r="79" ht="43.5" customHeight="1"/>
    <row r="80" ht="43.5" customHeight="1"/>
    <row r="81" ht="43.5" customHeight="1"/>
    <row r="82" ht="43.5" customHeight="1"/>
    <row r="83" ht="43.5" customHeight="1"/>
    <row r="84" ht="43.5" customHeight="1"/>
    <row r="85" ht="43.5" customHeight="1"/>
    <row r="86" ht="43.5" customHeight="1"/>
    <row r="87" ht="43.5" customHeight="1"/>
    <row r="88" ht="43.5" customHeight="1"/>
    <row r="89" ht="43.5" customHeight="1"/>
    <row r="90" ht="43.5" customHeight="1"/>
    <row r="91" ht="43.5" customHeight="1"/>
    <row r="92" ht="43.5" customHeight="1"/>
    <row r="93" ht="43.5" customHeight="1"/>
    <row r="94" ht="43.5" customHeight="1"/>
    <row r="95" ht="43.5" customHeight="1"/>
    <row r="96" ht="43.5" customHeight="1"/>
    <row r="97" ht="43.5" customHeight="1"/>
    <row r="98" ht="43.5" customHeight="1"/>
    <row r="99" ht="43.5" customHeight="1"/>
    <row r="100" ht="43.5" customHeight="1"/>
    <row r="101" ht="43.5" customHeight="1"/>
    <row r="102" ht="43.5" customHeight="1"/>
    <row r="103" ht="43.5" customHeight="1"/>
    <row r="104" ht="43.5" customHeight="1"/>
    <row r="105" ht="43.5" customHeight="1"/>
    <row r="106" ht="43.5" customHeight="1"/>
    <row r="107" ht="43.5" customHeight="1"/>
    <row r="108" ht="43.5" customHeight="1"/>
    <row r="109" ht="43.5" customHeight="1"/>
    <row r="110" ht="43.5" customHeight="1"/>
    <row r="111" ht="43.5" customHeight="1"/>
    <row r="112" ht="43.5" customHeight="1"/>
    <row r="113" ht="43.5" customHeight="1"/>
    <row r="114" ht="43.5" customHeight="1"/>
    <row r="115" ht="43.5" customHeight="1"/>
    <row r="116" ht="43.5" customHeight="1"/>
    <row r="117" ht="43.5" customHeight="1"/>
    <row r="118" ht="43.5" customHeight="1"/>
    <row r="119" ht="43.5" customHeight="1"/>
    <row r="120" ht="43.5" customHeight="1"/>
    <row r="121" ht="43.5" customHeight="1"/>
    <row r="122" ht="43.5" customHeight="1"/>
    <row r="123" ht="43.5" customHeight="1"/>
    <row r="124" ht="43.5" customHeight="1"/>
    <row r="125" ht="43.5" customHeight="1"/>
    <row r="126" ht="43.5" customHeight="1"/>
    <row r="127" ht="43.5" customHeight="1"/>
  </sheetData>
  <autoFilter ref="A1:AL2"/>
  <conditionalFormatting sqref="E2:N2">
    <cfRule type="cellIs" priority="5" operator="lessThan" dxfId="3">
      <formula>0.29</formula>
    </cfRule>
    <cfRule type="cellIs" priority="6" operator="between" dxfId="2">
      <formula>0.3</formula>
      <formula>0.8999</formula>
    </cfRule>
    <cfRule type="cellIs" priority="7" operator="between" dxfId="1" stopIfTrue="1">
      <formula>0.7</formula>
      <formula>0.8</formula>
    </cfRule>
    <cfRule type="cellIs" priority="8" operator="greaterThanOrEqual" dxfId="0">
      <formula>0.9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tabSelected="1" zoomScale="88" zoomScaleNormal="100" workbookViewId="0">
      <pane ySplit="1" topLeftCell="A2" activePane="bottomLeft" state="frozen"/>
      <selection activeCell="E360" sqref="C316:E360"/>
      <selection pane="bottomLeft" activeCell="H4" sqref="H4:H5"/>
    </sheetView>
  </sheetViews>
  <sheetFormatPr baseColWidth="8" defaultRowHeight="14.5"/>
  <cols>
    <col width="15.7265625" bestFit="1" customWidth="1" min="1" max="1"/>
    <col width="18.453125" bestFit="1" customWidth="1" min="2" max="2"/>
    <col width="23.1796875" bestFit="1" customWidth="1" min="3" max="3"/>
    <col width="23.1796875" customWidth="1" style="15" min="4" max="4"/>
    <col width="18" customWidth="1" style="15" min="5" max="6"/>
    <col width="18" customWidth="1" style="23" min="7" max="7"/>
    <col width="44.1796875" bestFit="1" customWidth="1" min="8" max="8"/>
    <col width="21.54296875" bestFit="1" customWidth="1" min="10" max="10"/>
    <col width="33.453125" bestFit="1" customWidth="1" min="11" max="11"/>
    <col width="4.453125" bestFit="1" customWidth="1" min="12" max="12"/>
    <col width="5.453125" bestFit="1" customWidth="1" min="13" max="13"/>
  </cols>
  <sheetData>
    <row r="1" ht="31" customHeight="1" thickBot="1">
      <c r="A1" s="27" t="inlineStr">
        <is>
          <t>Project</t>
        </is>
      </c>
      <c r="B1" s="28" t="inlineStr">
        <is>
          <t>Engagement Manager</t>
        </is>
      </c>
      <c r="C1" s="28" t="inlineStr">
        <is>
          <t>Resource</t>
        </is>
      </c>
      <c r="D1" s="28" t="inlineStr">
        <is>
          <t>Current Grade</t>
        </is>
      </c>
      <c r="E1" s="28" t="inlineStr">
        <is>
          <t>Start Date</t>
        </is>
      </c>
      <c r="F1" s="28" t="inlineStr">
        <is>
          <t>End Date</t>
        </is>
      </c>
      <c r="G1" s="42" t="inlineStr">
        <is>
          <t>Utilization %</t>
        </is>
      </c>
      <c r="H1" s="29" t="inlineStr">
        <is>
          <t>Remarks</t>
        </is>
      </c>
    </row>
    <row r="2">
      <c r="A2" t="inlineStr">
        <is>
          <t>Pokkatea</t>
        </is>
      </c>
      <c r="B2" t="inlineStr">
        <is>
          <t>Manager1</t>
        </is>
      </c>
      <c r="C2" t="inlineStr">
        <is>
          <t>Pokka</t>
        </is>
      </c>
      <c r="D2">
        <f>VLOOKUP(C2,Master!A:C,3,0)</f>
        <v/>
      </c>
      <c r="F2" s="75" t="n">
        <v>46211</v>
      </c>
      <c r="G2" s="14" t="n">
        <v>0.3</v>
      </c>
    </row>
    <row r="3">
      <c r="C3" t="inlineStr">
        <is>
          <t>Milo, Nurul</t>
        </is>
      </c>
      <c r="D3">
        <f>VLOOKUP(C3,Master!A:C,3,0)</f>
        <v/>
      </c>
      <c r="E3" s="75" t="n">
        <v>46217</v>
      </c>
      <c r="F3" s="75" t="n">
        <v>46343</v>
      </c>
      <c r="G3" s="14" t="n">
        <v>0.5</v>
      </c>
    </row>
    <row r="4">
      <c r="C4" t="inlineStr">
        <is>
          <t>Fanta, Rahul</t>
        </is>
      </c>
      <c r="D4">
        <f>VLOOKUP(C4,Master!A:C,3,0)</f>
        <v/>
      </c>
      <c r="E4" s="75" t="n">
        <v>46217</v>
      </c>
      <c r="F4" s="75" t="n">
        <v>46413</v>
      </c>
      <c r="G4" s="14" t="n">
        <v>1</v>
      </c>
    </row>
    <row r="5">
      <c r="C5" t="inlineStr">
        <is>
          <t>Sprite, Hui Ling</t>
        </is>
      </c>
      <c r="D5">
        <f>VLOOKUP(C5,Master!A:C,3,0)</f>
        <v/>
      </c>
      <c r="E5" s="75" t="n">
        <v>46217</v>
      </c>
      <c r="F5" s="75" t="n">
        <v>46427</v>
      </c>
      <c r="G5" s="14" t="n">
        <v>0.2</v>
      </c>
    </row>
    <row r="6">
      <c r="C6" t="inlineStr">
        <is>
          <t>Ginger, Chloe</t>
        </is>
      </c>
      <c r="D6">
        <f>VLOOKUP(C6,Master!A:C,3,0)</f>
        <v/>
      </c>
      <c r="E6" s="75" t="n">
        <v>46217</v>
      </c>
      <c r="F6" s="75" t="n">
        <v>46399</v>
      </c>
      <c r="G6" s="14" t="n">
        <v>1</v>
      </c>
    </row>
    <row r="7">
      <c r="A7" t="inlineStr">
        <is>
          <t>Lumina360</t>
        </is>
      </c>
      <c r="B7" t="inlineStr">
        <is>
          <t>Manager 2</t>
        </is>
      </c>
      <c r="C7" t="inlineStr">
        <is>
          <t>Teh, Mei Ling</t>
        </is>
      </c>
      <c r="D7">
        <f>VLOOKUP(C7,Master!A:C,3,0)</f>
        <v/>
      </c>
      <c r="E7" s="75" t="n">
        <v>46217</v>
      </c>
      <c r="F7" s="75" t="n">
        <v>46497</v>
      </c>
      <c r="G7" s="14" t="n">
        <v>1</v>
      </c>
    </row>
    <row r="8">
      <c r="C8" t="inlineStr">
        <is>
          <t>Bandung, Arjun</t>
        </is>
      </c>
      <c r="D8">
        <f>VLOOKUP(C8,Master!A:C,3,0)</f>
        <v/>
      </c>
      <c r="E8" s="75" t="n">
        <v>46217</v>
      </c>
      <c r="F8" s="75" t="n">
        <v>46469</v>
      </c>
      <c r="G8" s="14" t="n">
        <v>1</v>
      </c>
    </row>
    <row r="9">
      <c r="C9" t="inlineStr">
        <is>
          <t>Ribena, Aisha</t>
        </is>
      </c>
      <c r="D9">
        <f>VLOOKUP(C9,Master!A:C,3,0)</f>
        <v/>
      </c>
      <c r="E9" s="75" t="n">
        <v>46217</v>
      </c>
      <c r="F9" s="75" t="n">
        <v>46553</v>
      </c>
      <c r="G9" s="14" t="n">
        <v>1</v>
      </c>
    </row>
    <row r="10">
      <c r="C10" t="inlineStr">
        <is>
          <t>Calpis, Sofia</t>
        </is>
      </c>
      <c r="D10">
        <f>VLOOKUP(C10,Master!A:C,3,0)</f>
        <v/>
      </c>
      <c r="E10" s="75" t="n">
        <v>46217</v>
      </c>
      <c r="F10" s="75" t="n">
        <v>46497</v>
      </c>
      <c r="G10" s="14" t="n">
        <v>0.6</v>
      </c>
    </row>
    <row r="11">
      <c r="C11" t="inlineStr">
        <is>
          <t>Matcha, Divya</t>
        </is>
      </c>
      <c r="D11">
        <f>VLOOKUP(C11,Master!A:C,3,0)</f>
        <v/>
      </c>
      <c r="E11" s="75" t="n">
        <v>46217</v>
      </c>
      <c r="F11" s="75" t="n">
        <v>46329</v>
      </c>
      <c r="G11" s="14" t="n">
        <v>1</v>
      </c>
    </row>
    <row r="12" ht="15" customHeight="1" thickBot="1">
      <c r="C12" t="inlineStr">
        <is>
          <t>Barley, Farhan</t>
        </is>
      </c>
      <c r="D12">
        <f>VLOOKUP(C12,Master!A:C,3,0)</f>
        <v/>
      </c>
      <c r="E12" s="75" t="n">
        <v>46217</v>
      </c>
      <c r="F12" s="75" t="n">
        <v>46357</v>
      </c>
      <c r="G12" s="14" t="n">
        <v>1</v>
      </c>
    </row>
    <row r="13" ht="29.5" customHeight="1">
      <c r="A13" t="inlineStr">
        <is>
          <t>Clearwater</t>
        </is>
      </c>
      <c r="B13" t="inlineStr">
        <is>
          <t>Manager 3</t>
        </is>
      </c>
      <c r="C13" t="inlineStr">
        <is>
          <t>Horlicks, Daniel</t>
        </is>
      </c>
      <c r="D13">
        <f>VLOOKUP(C13,Master!A:C,3,0)</f>
        <v/>
      </c>
      <c r="E13" s="75" t="n">
        <v>46217</v>
      </c>
      <c r="F13" s="75" t="n">
        <v>46525</v>
      </c>
      <c r="G13" s="14" t="n">
        <v>1</v>
      </c>
    </row>
    <row r="14">
      <c r="C14" t="inlineStr">
        <is>
          <t>Chrysanthemum, Priya</t>
        </is>
      </c>
      <c r="D14">
        <f>VLOOKUP(C14,Master!A:C,3,0)</f>
        <v/>
      </c>
      <c r="E14" s="75" t="n">
        <v>46217</v>
      </c>
      <c r="F14" s="75" t="n">
        <v>46371</v>
      </c>
      <c r="G14" s="14" t="n">
        <v>0.75</v>
      </c>
    </row>
    <row r="15">
      <c r="C15" t="inlineStr">
        <is>
          <t>Pocari, Kenji</t>
        </is>
      </c>
      <c r="D15">
        <f>VLOOKUP(C15,Master!A:C,3,0)</f>
        <v/>
      </c>
      <c r="E15" s="75" t="n">
        <v>46217</v>
      </c>
      <c r="F15" s="75" t="n">
        <v>46567</v>
      </c>
      <c r="G15" s="14" t="n">
        <v>1</v>
      </c>
    </row>
    <row r="16">
      <c r="C16" t="inlineStr">
        <is>
          <t>Oolong, Bryan</t>
        </is>
      </c>
      <c r="D16">
        <f>VLOOKUP(C16,Master!A:C,3,0)</f>
        <v/>
      </c>
      <c r="E16" s="75" t="n">
        <v>46217</v>
      </c>
      <c r="F16" s="75" t="n">
        <v>46455</v>
      </c>
      <c r="G16" s="14" t="n">
        <v>1</v>
      </c>
    </row>
    <row r="17">
      <c r="C17" t="inlineStr">
        <is>
          <t>Soybean, Ethan</t>
        </is>
      </c>
      <c r="D17">
        <f>VLOOKUP(C17,Master!A:C,3,0)</f>
        <v/>
      </c>
      <c r="E17" s="75" t="n">
        <v>46217</v>
      </c>
      <c r="F17" s="75" t="n">
        <v>46301</v>
      </c>
      <c r="G17" s="14" t="n">
        <v>0.5</v>
      </c>
    </row>
    <row r="18">
      <c r="C18" t="inlineStr">
        <is>
          <t>Lemongrass, Ravi</t>
        </is>
      </c>
      <c r="D18">
        <f>VLOOKUP(C18,Master!A:C,3,0)</f>
        <v/>
      </c>
      <c r="E18" s="75" t="n">
        <v>46217</v>
      </c>
      <c r="F18" s="75" t="n">
        <v>46602</v>
      </c>
      <c r="G18" s="14" t="n">
        <v>1</v>
      </c>
    </row>
    <row r="20">
      <c r="A20" t="inlineStr">
        <is>
          <t>Unique Resources Count: 17</t>
        </is>
      </c>
    </row>
    <row r="22" ht="15" customHeight="1" thickBot="1"/>
    <row r="29" ht="31.5" customHeight="1"/>
  </sheetData>
  <autoFilter ref="A1:M1"/>
  <mergeCells count="6">
    <mergeCell ref="A13:A18"/>
    <mergeCell ref="B13:B18"/>
    <mergeCell ref="A7:A12"/>
    <mergeCell ref="A2:A6"/>
    <mergeCell ref="B7:B12"/>
    <mergeCell ref="B2:B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Zhiying Song</dc:creator>
  <dcterms:created xmlns:dcterms="http://purl.org/dc/terms/" xmlns:xsi="http://www.w3.org/2001/XMLSchema-instance" xsi:type="dcterms:W3CDTF">2025-02-27T03:26:54Z</dcterms:created>
  <dcterms:modified xmlns:dcterms="http://purl.org/dc/terms/" xmlns:xsi="http://www.w3.org/2001/XMLSchema-instance" xsi:type="dcterms:W3CDTF">2026-08-10T03:34:31Z</dcterms:modified>
  <cp:lastModifiedBy>Grayson Sutedjo</cp:lastModifiedBy>
</cp:coreProperties>
</file>