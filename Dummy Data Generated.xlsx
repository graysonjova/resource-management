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awm\Downloads\Grayson Dummy\"/>
    </mc:Choice>
  </mc:AlternateContent>
  <xr:revisionPtr revIDLastSave="0" documentId="8_{121D3066-6B37-4DED-AFA0-F9D6180F08D9}" xr6:coauthVersionLast="47" xr6:coauthVersionMax="47" xr10:uidLastSave="{00000000-0000-0000-0000-000000000000}"/>
  <bookViews>
    <workbookView xWindow="3040" yWindow="3040" windowWidth="19200" windowHeight="11170" xr2:uid="{00000000-000D-0000-FFFF-FFFF00000000}"/>
  </bookViews>
  <sheets>
    <sheet name="Master" sheetId="1" r:id="rId1"/>
    <sheet name="Utilization by Engagement" sheetId="2" r:id="rId2"/>
  </sheets>
  <definedNames>
    <definedName name="_xlnm._FilterDatabase" localSheetId="0" hidden="1">Master!$A$1:$AL$2</definedName>
    <definedName name="_xlnm._FilterDatabase" localSheetId="1" hidden="1">'Utilization by Engagement'!$A$1:$M$1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1" i="1" l="1" a="1"/>
  <c r="AA21" i="1" s="1"/>
  <c r="P21" i="1"/>
  <c r="AA20" i="1" a="1"/>
  <c r="AA20" i="1" s="1"/>
  <c r="P20" i="1"/>
  <c r="AA19" i="1" a="1"/>
  <c r="AA19" i="1" s="1"/>
  <c r="P19" i="1"/>
  <c r="AA18" i="1" a="1"/>
  <c r="AA18" i="1" s="1"/>
  <c r="P18" i="1"/>
  <c r="AA17" i="1" a="1"/>
  <c r="AA17" i="1" s="1"/>
  <c r="P17" i="1"/>
  <c r="AA16" i="1" a="1"/>
  <c r="AA16" i="1" s="1"/>
  <c r="P16" i="1"/>
  <c r="AA15" i="1" a="1"/>
  <c r="AA15" i="1" s="1"/>
  <c r="P15" i="1"/>
  <c r="AA14" i="1" a="1"/>
  <c r="AA14" i="1" s="1"/>
  <c r="P14" i="1"/>
  <c r="AA13" i="1" a="1"/>
  <c r="AA13" i="1" s="1"/>
  <c r="P13" i="1"/>
  <c r="AA12" i="1" a="1"/>
  <c r="AA12" i="1" s="1"/>
  <c r="P12" i="1"/>
  <c r="AA11" i="1" a="1"/>
  <c r="AA11" i="1" s="1"/>
  <c r="P11" i="1"/>
  <c r="AA10" i="1" a="1"/>
  <c r="AA10" i="1" s="1"/>
  <c r="P10" i="1"/>
  <c r="AA9" i="1" a="1"/>
  <c r="AA9" i="1" s="1"/>
  <c r="P9" i="1"/>
  <c r="AA8" i="1" a="1"/>
  <c r="AA8" i="1" s="1"/>
  <c r="P8" i="1"/>
  <c r="AA7" i="1" a="1"/>
  <c r="AA7" i="1" s="1"/>
  <c r="P7" i="1"/>
  <c r="AA6" i="1" a="1"/>
  <c r="AA6" i="1" s="1"/>
  <c r="P6" i="1"/>
  <c r="AA5" i="1" a="1"/>
  <c r="AA5" i="1" s="1"/>
  <c r="P5" i="1"/>
  <c r="AA4" i="1" a="1"/>
  <c r="AA4" i="1" s="1"/>
  <c r="P4" i="1"/>
  <c r="AA3" i="1" a="1"/>
  <c r="AA3" i="1" s="1"/>
  <c r="P3" i="1"/>
  <c r="AA2" i="1" a="1"/>
  <c r="AA2" i="1" s="1"/>
  <c r="P2" i="1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<sst xmlns="http://schemas.openxmlformats.org/spreadsheetml/2006/main" count="373" uniqueCount="203">
  <si>
    <t>Project</t>
  </si>
  <si>
    <t>Engagement Manager</t>
  </si>
  <si>
    <t>Resource</t>
  </si>
  <si>
    <t>Current Grade</t>
  </si>
  <si>
    <t>Start Date</t>
  </si>
  <si>
    <t>End Date</t>
  </si>
  <si>
    <t>Utilization %</t>
  </si>
  <si>
    <t>Remarks</t>
  </si>
  <si>
    <t>Pokkatea</t>
  </si>
  <si>
    <t>Manager1</t>
  </si>
  <si>
    <t>Pokka</t>
  </si>
  <si>
    <t>Milo, Nurul</t>
  </si>
  <si>
    <t>Fanta, Rahul</t>
  </si>
  <si>
    <t>Sprite, Hui Ling</t>
  </si>
  <si>
    <t>Ginger, Chloe</t>
  </si>
  <si>
    <t>Lumina360</t>
  </si>
  <si>
    <t>Manager 2</t>
  </si>
  <si>
    <t>Teh, Mei Ling</t>
  </si>
  <si>
    <t>Bandung, Arjun</t>
  </si>
  <si>
    <t>Ribena, Aisha</t>
  </si>
  <si>
    <t>Calpis, Sofia</t>
  </si>
  <si>
    <t>Matcha, Divya</t>
  </si>
  <si>
    <t>Barley, Farhan</t>
  </si>
  <si>
    <t>Clearwater</t>
  </si>
  <si>
    <t>Manager 3</t>
  </si>
  <si>
    <t>Horlicks, Daniel</t>
  </si>
  <si>
    <t>Chrysanthemum, Priya</t>
  </si>
  <si>
    <t>Pocari, Kenji</t>
  </si>
  <si>
    <t>Oolong, Bryan</t>
  </si>
  <si>
    <t>Soybean, Ethan</t>
  </si>
  <si>
    <t>Lemongrass, Ravi</t>
  </si>
  <si>
    <t>Unique Resources Count: 17</t>
  </si>
  <si>
    <t>Employee name</t>
  </si>
  <si>
    <t>Gender</t>
  </si>
  <si>
    <t>Rank and Grade</t>
  </si>
  <si>
    <t>Bench Category Column</t>
  </si>
  <si>
    <t>6 Weeks Forecast</t>
  </si>
  <si>
    <t>12 Weeks Forecast</t>
  </si>
  <si>
    <t>Current Week Forecast</t>
  </si>
  <si>
    <t>WC 14 Jul 2026</t>
  </si>
  <si>
    <t>WC 22 Jul 2026</t>
  </si>
  <si>
    <t>WC 29 Jul 2026</t>
  </si>
  <si>
    <t>WC 5 Aug 2026</t>
  </si>
  <si>
    <t>WC 12 Aug 2026</t>
  </si>
  <si>
    <t>WC 19 Aug 2026</t>
  </si>
  <si>
    <t>WC 26 Aug 2026</t>
  </si>
  <si>
    <t>Allocation Remarks</t>
  </si>
  <si>
    <t>Bench/Partial Bench (Profinda)</t>
  </si>
  <si>
    <t>% Availablity (1mth)</t>
  </si>
  <si>
    <t>% Availablity (2mth)</t>
  </si>
  <si>
    <t>% Availablity (3mth)</t>
  </si>
  <si>
    <t>% Availablity (6mth)</t>
  </si>
  <si>
    <t>% Availablity 6mth onwards (Outdated)</t>
  </si>
  <si>
    <t>End date</t>
  </si>
  <si>
    <t>Nationality</t>
  </si>
  <si>
    <t>Previous/Existing Project Roles</t>
  </si>
  <si>
    <t>Primary Skillset (Platform)</t>
  </si>
  <si>
    <t>Secondary Skillset</t>
  </si>
  <si>
    <t>Combined Bucket Skillset</t>
  </si>
  <si>
    <t>Data Engineering</t>
  </si>
  <si>
    <t>Data Architecture</t>
  </si>
  <si>
    <t>Business Intelligence &amp; Analytics</t>
  </si>
  <si>
    <t>Artificial Intelligence (AI) &amp; Machine Learning</t>
  </si>
  <si>
    <t>Data Governance &amp; Quality</t>
  </si>
  <si>
    <t>Data Security &amp; Privacy</t>
  </si>
  <si>
    <t>Data Strategy &amp; Management</t>
  </si>
  <si>
    <t>Cloud Data Platforms &amp; Operations</t>
  </si>
  <si>
    <t>Aspiring roles</t>
  </si>
  <si>
    <t>Current Engagement</t>
  </si>
  <si>
    <t>EM</t>
  </si>
  <si>
    <t>Male</t>
  </si>
  <si>
    <t>Intern (CS) 1</t>
  </si>
  <si>
    <t>Coming on bench in 1 week(s)</t>
  </si>
  <si>
    <t>May - Aug 2027 SAESL 
May - Aug 2026 - SAESL 100%
Internship until 7 Aug</t>
  </si>
  <si>
    <t xml:space="preserve">100%
</t>
  </si>
  <si>
    <t>Singaporean</t>
  </si>
  <si>
    <t>Tech Consultant</t>
  </si>
  <si>
    <t>Python, MySQL, C++, Javascript, Typescript</t>
  </si>
  <si>
    <t>Python
PyTorch, Scikit-learn, SHAP, Model Optimization, Feature Engineering</t>
  </si>
  <si>
    <t>Yes</t>
  </si>
  <si>
    <t>AI/ML Ops
Software Developer / AI Engineer</t>
  </si>
  <si>
    <t>Singapore Aero Engine Services Private Limited - SAESL S/4HANA Implementation - E-69379635</t>
  </si>
  <si>
    <t>Liu, Vanessa</t>
  </si>
  <si>
    <t>Kopi, Jia Wei</t>
  </si>
  <si>
    <t>Associate 2</t>
  </si>
  <si>
    <t>On bench now</t>
  </si>
  <si>
    <t>On bench - available for immediate staffing</t>
  </si>
  <si>
    <t>Data Engineer</t>
  </si>
  <si>
    <t>Python, SQL, Spark, Airflow, dbt</t>
  </si>
  <si>
    <t>Lakehouse Architecture
Kafka Streaming, Delta Lake</t>
  </si>
  <si>
    <t>Lead Data Engineer
Data Architect</t>
  </si>
  <si>
    <t>On bench</t>
  </si>
  <si>
    <t>Female</t>
  </si>
  <si>
    <t>Senior 1</t>
  </si>
  <si>
    <t>Fully allocated</t>
  </si>
  <si>
    <t>Current - Dummy Telco Customer 360 lakehouse (100%)
Expected end Apr 2027
Internal enablement after roll-off</t>
  </si>
  <si>
    <t xml:space="preserve">0%
</t>
  </si>
  <si>
    <t>AI Engineer</t>
  </si>
  <si>
    <t>Python, PyTorch, LangChain, LLMs, RAG</t>
  </si>
  <si>
    <t>NLP
Document Intelligence, Prompt Engineering</t>
  </si>
  <si>
    <t>GenAI Lead
ML Research Engineer</t>
  </si>
  <si>
    <t>Dummy Telco - Customer 360 lakehouse - E-71004821</t>
  </si>
  <si>
    <t>Tan, Alexis</t>
  </si>
  <si>
    <t>Manager 1</t>
  </si>
  <si>
    <t>Current - Dummy Telco Customer 360 lakehouse (100%)
Expected end Mar 2027
Internal enablement after roll-off</t>
  </si>
  <si>
    <t>PR</t>
  </si>
  <si>
    <t>Data Architecture Lead</t>
  </si>
  <si>
    <t>Azure, Databricks, Synapse, Python, SQL</t>
  </si>
  <si>
    <t>Enterprise Data Modelling
MDM, Integration Patterns</t>
  </si>
  <si>
    <t>Principal Architect
CTO Advisory</t>
  </si>
  <si>
    <t>Associate 1</t>
  </si>
  <si>
    <t>Partially available (50% free)</t>
  </si>
  <si>
    <t>Current - Pokkatea Holdings S/4HANA data migration &amp; reporting (50%)
Expected end Nov 2026
Partial capacity open for staffing</t>
  </si>
  <si>
    <t xml:space="preserve">65%
</t>
  </si>
  <si>
    <t>Analytics Engineer</t>
  </si>
  <si>
    <t>SQL, dbt, Power BI, Python</t>
  </si>
  <si>
    <t>Semantic Modelling
Self-serve BI enablement</t>
  </si>
  <si>
    <t>BI Lead
Analytics Manager</t>
  </si>
  <si>
    <t>Pokkatea Holdings - S/4HANA data migration &amp; reporting - E-69379635</t>
  </si>
  <si>
    <t>Senior 2</t>
  </si>
  <si>
    <t>Current - Dummy Gov Agency Enterprise data governance programme (100%)
Expected end May 2027
Internal enablement after roll-off</t>
  </si>
  <si>
    <t>Long-term Pass</t>
  </si>
  <si>
    <t>MLOps Engineer</t>
  </si>
  <si>
    <t>Python, Docker, Kubernetes, MLflow, Terraform</t>
  </si>
  <si>
    <t>Feature Store
Model Monitoring, CI/CD</t>
  </si>
  <si>
    <t>MLOps Lead
Platform Architect</t>
  </si>
  <si>
    <t>Dummy Gov Agency - Enterprise data governance programme - E-72219904</t>
  </si>
  <si>
    <t>Ng, Jordan</t>
  </si>
  <si>
    <t>Associate 3</t>
  </si>
  <si>
    <t>Partially available (25% free)</t>
  </si>
  <si>
    <t>Current - Dummy Gov Agency Enterprise data governance programme (75%)
Expected end Dec 2026
Partial capacity open for staffing</t>
  </si>
  <si>
    <t xml:space="preserve">37%
</t>
  </si>
  <si>
    <t>Data Governance Consultant</t>
  </si>
  <si>
    <t>SQL, Collibra, Microsoft Purview, Data Quality</t>
  </si>
  <si>
    <t>PDPA / Privacy
Metadata Management</t>
  </si>
  <si>
    <t>Data Governance Lead
CDO Advisor</t>
  </si>
  <si>
    <t>Yakult, Marcus</t>
  </si>
  <si>
    <t>Python, SQL, Javascript, React</t>
  </si>
  <si>
    <t>Basic ML
Scikit-learn, Pandas</t>
  </si>
  <si>
    <t>Software Developer / AI Engineer</t>
  </si>
  <si>
    <t>Current - Dummy Telco Customer 360 lakehouse (100%)
Expected end Jun 2027
Internal enablement after roll-off</t>
  </si>
  <si>
    <t>Data Strategy Manager</t>
  </si>
  <si>
    <t>SQL, Azure, Power BI, Stakeholder Management</t>
  </si>
  <si>
    <t>Operating Model Design
Value Case Development</t>
  </si>
  <si>
    <t>Partner / Director track</t>
  </si>
  <si>
    <t>Current - Pokkatea Holdings S/4HANA data migration &amp; reporting (100%)
Expected end Jan 2027
Internal enablement after roll-off</t>
  </si>
  <si>
    <t>Cloud Data Engineer</t>
  </si>
  <si>
    <t>AWS, Glue, Redshift, Python, Terraform</t>
  </si>
  <si>
    <t>Streaming (Kinesis/Kafka)
Cost Optimisation</t>
  </si>
  <si>
    <t>Cloud Architect
Platform Lead</t>
  </si>
  <si>
    <t>Partially available (80% free)</t>
  </si>
  <si>
    <t>Current - Pokkatea Holdings S/4HANA data migration &amp; reporting (20%)
Expected end Feb 2027
Partial capacity open for staffing</t>
  </si>
  <si>
    <t xml:space="preserve">80%
</t>
  </si>
  <si>
    <t>BI Developer</t>
  </si>
  <si>
    <t>Power BI, SQL, DAX, Azure Synapse</t>
  </si>
  <si>
    <t>Data Visualisation
Reporting Automation</t>
  </si>
  <si>
    <t>Analytics Engineer
BI Lead</t>
  </si>
  <si>
    <t>Current - Dummy Gov Agency Enterprise data governance programme (100%)
Expected end Jun 2027
Internal enablement after roll-off</t>
  </si>
  <si>
    <t>Data Scientist</t>
  </si>
  <si>
    <t>Python, scikit-learn, XGBoost, SQL</t>
  </si>
  <si>
    <t>Forecasting
Causal Inference</t>
  </si>
  <si>
    <t>Principal Data Scientist
AI Product Owner</t>
  </si>
  <si>
    <t>Partially available (40% free)</t>
  </si>
  <si>
    <t>Current - Dummy Telco Customer 360 lakehouse (60%)
Expected end Apr 2027
Partial capacity open for staffing</t>
  </si>
  <si>
    <t xml:space="preserve">40%
</t>
  </si>
  <si>
    <t>Data Steward</t>
  </si>
  <si>
    <t>SQL, Great Expectations, Collibra</t>
  </si>
  <si>
    <t>Data Quality Rules
Issue Remediation</t>
  </si>
  <si>
    <t>Current - Dummy Gov Agency Enterprise data governance programme (100%)
Expected end Mar 2027
Internal enablement after roll-off</t>
  </si>
  <si>
    <t>Engagement Manager - Data</t>
  </si>
  <si>
    <t>Azure, Databricks, Delivery Management, SQL</t>
  </si>
  <si>
    <t>Agile Delivery
Commercials / SOW</t>
  </si>
  <si>
    <t>Senior Manager
Portfolio Lead</t>
  </si>
  <si>
    <t>Current - Dummy Telco Customer 360 lakehouse (100%)
Expected end Nov 2026
Internal enablement after roll-off</t>
  </si>
  <si>
    <t xml:space="preserve">38%
</t>
  </si>
  <si>
    <t>Privacy &amp; Security Consultant</t>
  </si>
  <si>
    <t>SQL, Purview, Azure AD, PDPA controls</t>
  </si>
  <si>
    <t>Access Governance
Data Classification</t>
  </si>
  <si>
    <t>Data Security Lead</t>
  </si>
  <si>
    <t>Current - Dummy Gov Agency Enterprise data governance programme (50%)
Expected end Oct 2026
Partial capacity open for staffing</t>
  </si>
  <si>
    <t xml:space="preserve">77%
</t>
  </si>
  <si>
    <t>Platform Engineer</t>
  </si>
  <si>
    <t>Python, Kubernetes, Terraform, GitHub Actions</t>
  </si>
  <si>
    <t>Observability
DevOps for Data</t>
  </si>
  <si>
    <t>MLOps Engineer
Platform Architect</t>
  </si>
  <si>
    <t>Analytics Consultant</t>
  </si>
  <si>
    <t>SQL, Python, Tableau, Snowflake</t>
  </si>
  <si>
    <t>Executive Dashboards
KPI Frameworks</t>
  </si>
  <si>
    <t>Manager - Insights</t>
  </si>
  <si>
    <t>Current - Dummy Telco Customer 360 lakehouse (100%)
Expected end Dec 2026
Internal enablement after roll-off</t>
  </si>
  <si>
    <t xml:space="preserve">23%
</t>
  </si>
  <si>
    <t>GenAI Engineer</t>
  </si>
  <si>
    <t>Python, LangChain, Azure OpenAI, Vector DBs</t>
  </si>
  <si>
    <t>RAG Patterns
Evaluation Harnesses</t>
  </si>
  <si>
    <t>AI Engineer
GenAI Lead</t>
  </si>
  <si>
    <t>Coconut, Grace</t>
  </si>
  <si>
    <t>Python, SQL, Excel, Power BI</t>
  </si>
  <si>
    <t>Data Cleaning
Basic Visualisation</t>
  </si>
  <si>
    <t>Current - Dummy Gov Agency Enterprise data governance programme (100%)
Expected end Aug 2027
Internal enablement after roll-off</t>
  </si>
  <si>
    <t>Data Platform Manager</t>
  </si>
  <si>
    <t>Databricks, Spark, Azure, FinOps</t>
  </si>
  <si>
    <t>Platform Roadmaps
Team Leadership</t>
  </si>
  <si>
    <t>Senior Manager - Platforms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</si>
</sst>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%;\-0%;0%"/>
    <numFmt numFmtId="167" formatCode="yyyy\-mm\-dd"/>
  </numFmts>
  <fonts count="5" x14ac:knownFonts="1">
    <font>
      <sz val="11"/>
      <name val="Aptos Narrow"/>
    </font>
    <font>
      <b/>
      <sz val="11"/>
      <color rgb="FFFFFF00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top" wrapText="1"/>
    </xf>
    <xf numFmtId="0" fontId="3" fillId="4" borderId="1" xfId="1" applyFont="1" applyFill="1" applyBorder="1" applyAlignment="1">
      <alignment horizontal="center" vertical="top" wrapText="1"/>
    </xf>
    <xf numFmtId="0" fontId="3" fillId="5" borderId="1" xfId="1" applyFont="1" applyFill="1" applyBorder="1" applyAlignment="1">
      <alignment horizontal="center" vertical="top" wrapText="1"/>
    </xf>
    <xf numFmtId="0" fontId="3" fillId="5" borderId="0" xfId="1" applyFont="1" applyFill="1" applyAlignment="1">
      <alignment horizontal="center" vertical="top" wrapText="1"/>
    </xf>
    <xf numFmtId="0" fontId="3" fillId="3" borderId="1" xfId="1" applyFont="1" applyFill="1" applyBorder="1" applyAlignment="1">
      <alignment horizontal="center" vertical="top" wrapText="1"/>
    </xf>
    <xf numFmtId="165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9" fontId="0" fillId="0" borderId="0" xfId="0" applyNumberFormat="1" applyAlignment="1">
      <alignment horizontal="center"/>
    </xf>
    <xf numFmtId="0" fontId="3" fillId="7" borderId="0" xfId="1" applyFont="1" applyFill="1" applyAlignment="1">
      <alignment horizontal="center" vertical="top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top" wrapText="1"/>
    </xf>
    <xf numFmtId="0" fontId="3" fillId="8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3" fillId="4" borderId="1" xfId="1" applyFont="1" applyFill="1" applyBorder="1" applyAlignment="1">
      <alignment horizontal="center" vertical="center" wrapText="1"/>
    </xf>
    <xf numFmtId="9" fontId="4" fillId="6" borderId="4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67" fontId="0" fillId="0" borderId="0" xfId="0" applyNumberFormat="1"/>
    <xf numFmtId="0" fontId="0" fillId="0" borderId="0" xfId="0"/>
  </cellXfs>
  <cellStyles count="2">
    <cellStyle name="Normal" xfId="0" builtinId="0"/>
    <cellStyle name="Normal 2" xfId="1" xr:uid="{00000000-0005-0000-0000-000001000000}"/>
  </cellStyles>
  <dxfs count="4">
    <dxf>
      <font>
        <color theme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L21"/>
  <sheetViews>
    <sheetView tabSelected="1" zoomScale="76" zoomScaleNormal="100" workbookViewId="0">
      <pane xSplit="1" ySplit="1" topLeftCell="V2" activePane="bottomRight" state="frozen"/>
      <selection activeCell="E360" sqref="C316:E360"/>
      <selection pane="topRight" activeCell="E360" sqref="C316:E360"/>
      <selection pane="bottomLeft" activeCell="E360" sqref="C316:E360"/>
      <selection pane="bottomRight" activeCell="AA1" sqref="AA1"/>
    </sheetView>
  </sheetViews>
  <sheetFormatPr defaultColWidth="8.7265625" defaultRowHeight="43.5" customHeight="1" x14ac:dyDescent="0.35"/>
  <cols>
    <col min="1" max="1" width="29.453125" customWidth="1"/>
    <col min="2" max="2" width="7.453125" bestFit="1" customWidth="1"/>
    <col min="3" max="3" width="21.81640625" customWidth="1"/>
    <col min="4" max="4" width="28.1796875" customWidth="1"/>
    <col min="5" max="5" width="9.81640625" customWidth="1"/>
    <col min="6" max="6" width="10.81640625" customWidth="1"/>
    <col min="7" max="7" width="11.54296875" customWidth="1"/>
    <col min="8" max="12" width="8.7265625" customWidth="1"/>
    <col min="13" max="13" width="7.7265625" customWidth="1"/>
    <col min="14" max="14" width="7.54296875" customWidth="1"/>
    <col min="15" max="15" width="34.54296875" style="19" customWidth="1"/>
    <col min="16" max="16" width="34.54296875" customWidth="1"/>
    <col min="17" max="20" width="34.54296875" style="10" customWidth="1"/>
    <col min="21" max="21" width="31.54296875" style="11" bestFit="1" customWidth="1"/>
    <col min="22" max="22" width="12.54296875" style="11" bestFit="1" customWidth="1"/>
    <col min="23" max="23" width="33" customWidth="1"/>
    <col min="24" max="24" width="11.7265625" customWidth="1"/>
    <col min="25" max="25" width="29.81640625" customWidth="1"/>
    <col min="26" max="27" width="64.26953125" customWidth="1"/>
    <col min="28" max="28" width="15.453125" hidden="1" customWidth="1"/>
    <col min="29" max="29" width="15.7265625" hidden="1" customWidth="1"/>
    <col min="30" max="30" width="29.26953125" hidden="1" customWidth="1"/>
    <col min="31" max="31" width="39.1796875" hidden="1" customWidth="1"/>
    <col min="32" max="32" width="23.81640625" hidden="1" customWidth="1"/>
    <col min="33" max="33" width="20.453125" hidden="1" customWidth="1"/>
    <col min="34" max="34" width="25.453125" hidden="1" customWidth="1"/>
    <col min="35" max="35" width="30.7265625" hidden="1" customWidth="1"/>
    <col min="36" max="36" width="43.7265625" customWidth="1"/>
    <col min="37" max="37" width="79.54296875" bestFit="1" customWidth="1"/>
    <col min="38" max="38" width="27" customWidth="1"/>
  </cols>
  <sheetData>
    <row r="1" spans="1:38" s="1" customFormat="1" ht="43.5" customHeight="1" x14ac:dyDescent="0.35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0" t="s">
        <v>46</v>
      </c>
      <c r="P1" s="3" t="s">
        <v>47</v>
      </c>
      <c r="Q1" s="18" t="s">
        <v>48</v>
      </c>
      <c r="R1" s="18" t="s">
        <v>49</v>
      </c>
      <c r="S1" s="18" t="s">
        <v>50</v>
      </c>
      <c r="T1" s="18" t="s">
        <v>51</v>
      </c>
      <c r="U1" s="17" t="s">
        <v>52</v>
      </c>
      <c r="V1" s="3" t="s">
        <v>53</v>
      </c>
      <c r="W1" s="4" t="s">
        <v>54</v>
      </c>
      <c r="X1" s="4" t="s">
        <v>55</v>
      </c>
      <c r="Y1" s="4" t="s">
        <v>56</v>
      </c>
      <c r="Z1" s="5" t="s">
        <v>57</v>
      </c>
      <c r="AA1" s="5" t="s">
        <v>58</v>
      </c>
      <c r="AB1" s="13" t="s">
        <v>59</v>
      </c>
      <c r="AC1" s="13" t="s">
        <v>60</v>
      </c>
      <c r="AD1" s="13" t="s">
        <v>61</v>
      </c>
      <c r="AE1" s="13" t="s">
        <v>62</v>
      </c>
      <c r="AF1" s="13" t="s">
        <v>63</v>
      </c>
      <c r="AG1" s="13" t="s">
        <v>64</v>
      </c>
      <c r="AH1" s="13" t="s">
        <v>65</v>
      </c>
      <c r="AI1" s="13" t="s">
        <v>66</v>
      </c>
      <c r="AJ1" s="4" t="s">
        <v>67</v>
      </c>
      <c r="AK1" s="6" t="s">
        <v>68</v>
      </c>
      <c r="AL1" s="6" t="s">
        <v>69</v>
      </c>
    </row>
    <row r="2" spans="1:38" ht="43.5" customHeight="1" x14ac:dyDescent="0.35">
      <c r="A2" t="s">
        <v>10</v>
      </c>
      <c r="B2" t="s">
        <v>70</v>
      </c>
      <c r="C2" t="s">
        <v>71</v>
      </c>
      <c r="D2" t="s">
        <v>72</v>
      </c>
      <c r="E2" s="7">
        <v>0</v>
      </c>
      <c r="F2" s="7">
        <v>0</v>
      </c>
      <c r="G2" s="7">
        <v>1.0350900000000001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t="s">
        <v>73</v>
      </c>
      <c r="P2" t="str">
        <f t="shared" ref="P2:P21" si="0">IF($G2&gt;=100%,"NA",IF(G2=0%,"Bench","Partial Bench"))</f>
        <v>NA</v>
      </c>
      <c r="Q2" s="7">
        <v>0</v>
      </c>
      <c r="R2" s="7">
        <v>0</v>
      </c>
      <c r="S2" s="7">
        <v>0</v>
      </c>
      <c r="T2" s="7">
        <v>0</v>
      </c>
      <c r="U2" t="s">
        <v>74</v>
      </c>
      <c r="V2" s="22">
        <v>46211</v>
      </c>
      <c r="W2" t="s">
        <v>75</v>
      </c>
      <c r="X2" t="s">
        <v>76</v>
      </c>
      <c r="Y2" t="s">
        <v>77</v>
      </c>
      <c r="Z2" t="s">
        <v>78</v>
      </c>
      <c r="AA2" t="str">
        <f t="array" ref="AA2">_xlfn.TEXTJOIN(", ",TRUE,_xlfn._xlws.FILTER($AB$1:$AI$1,$AB2:$AI2="Yes"))</f>
        <v>Data Engineering, Business Intelligence &amp; Analytics, Artificial Intelligence (AI) &amp; Machine Learning</v>
      </c>
      <c r="AB2" t="s">
        <v>79</v>
      </c>
      <c r="AD2" t="s">
        <v>79</v>
      </c>
      <c r="AE2" t="s">
        <v>79</v>
      </c>
      <c r="AJ2" t="s">
        <v>80</v>
      </c>
      <c r="AK2" t="s">
        <v>81</v>
      </c>
      <c r="AL2" t="s">
        <v>82</v>
      </c>
    </row>
    <row r="3" spans="1:38" ht="43.5" customHeight="1" x14ac:dyDescent="0.35">
      <c r="A3" t="s">
        <v>83</v>
      </c>
      <c r="B3" t="s">
        <v>70</v>
      </c>
      <c r="C3" t="s">
        <v>84</v>
      </c>
      <c r="D3" t="s">
        <v>85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t="s">
        <v>86</v>
      </c>
      <c r="P3" t="str">
        <f t="shared" si="0"/>
        <v>Bench</v>
      </c>
      <c r="Q3" s="7">
        <v>1</v>
      </c>
      <c r="R3" s="7">
        <v>1</v>
      </c>
      <c r="S3" s="7">
        <v>1</v>
      </c>
      <c r="T3" s="7">
        <v>1</v>
      </c>
      <c r="U3" t="s">
        <v>74</v>
      </c>
      <c r="V3" s="22"/>
      <c r="W3" t="s">
        <v>75</v>
      </c>
      <c r="X3" t="s">
        <v>87</v>
      </c>
      <c r="Y3" t="s">
        <v>88</v>
      </c>
      <c r="Z3" t="s">
        <v>89</v>
      </c>
      <c r="AA3" t="str">
        <f t="array" ref="AA3">_xlfn.TEXTJOIN(", ",TRUE,_xlfn._xlws.FILTER($AB$1:$AI$1,$AB3:$AI3="Yes"))</f>
        <v>Data Engineering, Cloud Data Platforms &amp; Operations</v>
      </c>
      <c r="AB3" t="s">
        <v>79</v>
      </c>
      <c r="AI3" t="s">
        <v>79</v>
      </c>
      <c r="AJ3" t="s">
        <v>90</v>
      </c>
      <c r="AK3" t="s">
        <v>91</v>
      </c>
      <c r="AL3" t="s">
        <v>82</v>
      </c>
    </row>
    <row r="4" spans="1:38" ht="43.5" customHeight="1" x14ac:dyDescent="0.35">
      <c r="A4" t="s">
        <v>17</v>
      </c>
      <c r="B4" t="s">
        <v>92</v>
      </c>
      <c r="C4" t="s">
        <v>93</v>
      </c>
      <c r="D4" t="s">
        <v>94</v>
      </c>
      <c r="E4" s="7">
        <v>1</v>
      </c>
      <c r="F4" s="7">
        <v>1</v>
      </c>
      <c r="G4" s="7">
        <v>1</v>
      </c>
      <c r="H4" s="7">
        <v>1</v>
      </c>
      <c r="I4" s="7">
        <v>1</v>
      </c>
      <c r="J4" s="7">
        <v>1</v>
      </c>
      <c r="K4" s="7">
        <v>1</v>
      </c>
      <c r="L4" s="7">
        <v>1</v>
      </c>
      <c r="M4" s="7">
        <v>1</v>
      </c>
      <c r="N4" s="7">
        <v>1</v>
      </c>
      <c r="O4" t="s">
        <v>95</v>
      </c>
      <c r="P4" t="str">
        <f t="shared" si="0"/>
        <v>NA</v>
      </c>
      <c r="Q4" s="7">
        <v>0</v>
      </c>
      <c r="R4" s="7">
        <v>0</v>
      </c>
      <c r="S4" s="7">
        <v>0</v>
      </c>
      <c r="T4" s="7">
        <v>0</v>
      </c>
      <c r="U4" t="s">
        <v>96</v>
      </c>
      <c r="V4" s="22">
        <v>46497</v>
      </c>
      <c r="W4" t="s">
        <v>75</v>
      </c>
      <c r="X4" t="s">
        <v>97</v>
      </c>
      <c r="Y4" t="s">
        <v>98</v>
      </c>
      <c r="Z4" t="s">
        <v>99</v>
      </c>
      <c r="AA4" t="str">
        <f t="array" ref="AA4">_xlfn.TEXTJOIN(", ",TRUE,_xlfn._xlws.FILTER($AB$1:$AI$1,$AB4:$AI4="Yes"))</f>
        <v>Data Engineering, Artificial Intelligence (AI) &amp; Machine Learning</v>
      </c>
      <c r="AB4" t="s">
        <v>79</v>
      </c>
      <c r="AE4" t="s">
        <v>79</v>
      </c>
      <c r="AJ4" t="s">
        <v>100</v>
      </c>
      <c r="AK4" t="s">
        <v>101</v>
      </c>
      <c r="AL4" t="s">
        <v>102</v>
      </c>
    </row>
    <row r="5" spans="1:38" ht="43.5" customHeight="1" x14ac:dyDescent="0.35">
      <c r="A5" t="s">
        <v>18</v>
      </c>
      <c r="B5" t="s">
        <v>70</v>
      </c>
      <c r="C5" t="s">
        <v>103</v>
      </c>
      <c r="D5" t="s">
        <v>94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7">
        <v>1</v>
      </c>
      <c r="K5" s="7">
        <v>1</v>
      </c>
      <c r="L5" s="7">
        <v>1</v>
      </c>
      <c r="M5" s="7">
        <v>1</v>
      </c>
      <c r="N5" s="7">
        <v>1</v>
      </c>
      <c r="O5" t="s">
        <v>104</v>
      </c>
      <c r="P5" t="str">
        <f t="shared" si="0"/>
        <v>NA</v>
      </c>
      <c r="Q5" s="7">
        <v>0</v>
      </c>
      <c r="R5" s="7">
        <v>0</v>
      </c>
      <c r="S5" s="7">
        <v>0</v>
      </c>
      <c r="T5" s="7">
        <v>0</v>
      </c>
      <c r="U5" t="s">
        <v>96</v>
      </c>
      <c r="V5" s="22">
        <v>46469</v>
      </c>
      <c r="W5" t="s">
        <v>105</v>
      </c>
      <c r="X5" t="s">
        <v>106</v>
      </c>
      <c r="Y5" t="s">
        <v>107</v>
      </c>
      <c r="Z5" t="s">
        <v>108</v>
      </c>
      <c r="AA5" t="str">
        <f t="array" ref="AA5">_xlfn.TEXTJOIN(", ",TRUE,_xlfn._xlws.FILTER($AB$1:$AI$1,$AB5:$AI5="Yes"))</f>
        <v>Data Architecture, Data Strategy &amp; Management, Cloud Data Platforms &amp; Operations</v>
      </c>
      <c r="AC5" t="s">
        <v>79</v>
      </c>
      <c r="AH5" t="s">
        <v>79</v>
      </c>
      <c r="AI5" t="s">
        <v>79</v>
      </c>
      <c r="AJ5" t="s">
        <v>109</v>
      </c>
      <c r="AK5" t="s">
        <v>101</v>
      </c>
      <c r="AL5" t="s">
        <v>102</v>
      </c>
    </row>
    <row r="6" spans="1:38" ht="43.5" customHeight="1" x14ac:dyDescent="0.35">
      <c r="A6" t="s">
        <v>11</v>
      </c>
      <c r="B6" t="s">
        <v>92</v>
      </c>
      <c r="C6" t="s">
        <v>110</v>
      </c>
      <c r="D6" t="s">
        <v>111</v>
      </c>
      <c r="E6" s="7">
        <v>0.5</v>
      </c>
      <c r="F6" s="7">
        <v>0.5</v>
      </c>
      <c r="G6" s="7">
        <v>0.5</v>
      </c>
      <c r="H6" s="7">
        <v>0.5</v>
      </c>
      <c r="I6" s="7">
        <v>0.5</v>
      </c>
      <c r="J6" s="7">
        <v>0.5</v>
      </c>
      <c r="K6" s="7">
        <v>0.5</v>
      </c>
      <c r="L6" s="7">
        <v>0.5</v>
      </c>
      <c r="M6" s="7">
        <v>0.5</v>
      </c>
      <c r="N6" s="7">
        <v>0.5</v>
      </c>
      <c r="O6" t="s">
        <v>112</v>
      </c>
      <c r="P6" t="str">
        <f t="shared" si="0"/>
        <v>Partial Bench</v>
      </c>
      <c r="Q6" s="7">
        <v>0.5</v>
      </c>
      <c r="R6" s="7">
        <v>0.5</v>
      </c>
      <c r="S6" s="7">
        <v>0.5</v>
      </c>
      <c r="T6" s="7">
        <v>0.65380000000000005</v>
      </c>
      <c r="U6" t="s">
        <v>113</v>
      </c>
      <c r="V6" s="22">
        <v>46343</v>
      </c>
      <c r="W6" t="s">
        <v>75</v>
      </c>
      <c r="X6" t="s">
        <v>114</v>
      </c>
      <c r="Y6" t="s">
        <v>115</v>
      </c>
      <c r="Z6" t="s">
        <v>116</v>
      </c>
      <c r="AA6" t="str">
        <f t="array" ref="AA6">_xlfn.TEXTJOIN(", ",TRUE,_xlfn._xlws.FILTER($AB$1:$AI$1,$AB6:$AI6="Yes"))</f>
        <v>Data Engineering, Business Intelligence &amp; Analytics</v>
      </c>
      <c r="AB6" t="s">
        <v>79</v>
      </c>
      <c r="AD6" t="s">
        <v>79</v>
      </c>
      <c r="AJ6" t="s">
        <v>117</v>
      </c>
      <c r="AK6" t="s">
        <v>118</v>
      </c>
      <c r="AL6" t="s">
        <v>82</v>
      </c>
    </row>
    <row r="7" spans="1:38" ht="43.5" customHeight="1" x14ac:dyDescent="0.35">
      <c r="A7" t="s">
        <v>25</v>
      </c>
      <c r="B7" t="s">
        <v>70</v>
      </c>
      <c r="C7" t="s">
        <v>119</v>
      </c>
      <c r="D7" t="s">
        <v>94</v>
      </c>
      <c r="E7" s="7">
        <v>1</v>
      </c>
      <c r="F7" s="7">
        <v>1</v>
      </c>
      <c r="G7" s="7">
        <v>1</v>
      </c>
      <c r="H7" s="7">
        <v>1</v>
      </c>
      <c r="I7" s="7">
        <v>1</v>
      </c>
      <c r="J7" s="7">
        <v>1</v>
      </c>
      <c r="K7" s="7">
        <v>1</v>
      </c>
      <c r="L7" s="7">
        <v>1</v>
      </c>
      <c r="M7" s="7">
        <v>1</v>
      </c>
      <c r="N7" s="7">
        <v>1</v>
      </c>
      <c r="O7" t="s">
        <v>120</v>
      </c>
      <c r="P7" t="str">
        <f t="shared" si="0"/>
        <v>NA</v>
      </c>
      <c r="Q7" s="7">
        <v>0</v>
      </c>
      <c r="R7" s="7">
        <v>0</v>
      </c>
      <c r="S7" s="7">
        <v>0</v>
      </c>
      <c r="T7" s="7">
        <v>0</v>
      </c>
      <c r="U7" t="s">
        <v>96</v>
      </c>
      <c r="V7" s="22">
        <v>46525</v>
      </c>
      <c r="W7" t="s">
        <v>121</v>
      </c>
      <c r="X7" t="s">
        <v>122</v>
      </c>
      <c r="Y7" t="s">
        <v>123</v>
      </c>
      <c r="Z7" t="s">
        <v>124</v>
      </c>
      <c r="AA7" t="str">
        <f t="array" ref="AA7">_xlfn.TEXTJOIN(", ",TRUE,_xlfn._xlws.FILTER($AB$1:$AI$1,$AB7:$AI7="Yes"))</f>
        <v>Artificial Intelligence (AI) &amp; Machine Learning, Cloud Data Platforms &amp; Operations</v>
      </c>
      <c r="AE7" t="s">
        <v>79</v>
      </c>
      <c r="AI7" t="s">
        <v>79</v>
      </c>
      <c r="AJ7" t="s">
        <v>125</v>
      </c>
      <c r="AK7" t="s">
        <v>126</v>
      </c>
      <c r="AL7" t="s">
        <v>127</v>
      </c>
    </row>
    <row r="8" spans="1:38" ht="43.5" customHeight="1" x14ac:dyDescent="0.35">
      <c r="A8" t="s">
        <v>26</v>
      </c>
      <c r="B8" t="s">
        <v>92</v>
      </c>
      <c r="C8" t="s">
        <v>128</v>
      </c>
      <c r="D8" t="s">
        <v>129</v>
      </c>
      <c r="E8" s="7">
        <v>0.75</v>
      </c>
      <c r="F8" s="7">
        <v>0.75</v>
      </c>
      <c r="G8" s="7">
        <v>0.75</v>
      </c>
      <c r="H8" s="7">
        <v>0.75</v>
      </c>
      <c r="I8" s="7">
        <v>0.75</v>
      </c>
      <c r="J8" s="7">
        <v>0.75</v>
      </c>
      <c r="K8" s="7">
        <v>0.75</v>
      </c>
      <c r="L8" s="7">
        <v>0.75</v>
      </c>
      <c r="M8" s="7">
        <v>0.75</v>
      </c>
      <c r="N8" s="7">
        <v>0.75</v>
      </c>
      <c r="O8" t="s">
        <v>130</v>
      </c>
      <c r="P8" t="str">
        <f t="shared" si="0"/>
        <v>Partial Bench</v>
      </c>
      <c r="Q8" s="7">
        <v>0.25</v>
      </c>
      <c r="R8" s="7">
        <v>0.25</v>
      </c>
      <c r="S8" s="7">
        <v>0.25</v>
      </c>
      <c r="T8" s="7">
        <v>0.3654</v>
      </c>
      <c r="U8" t="s">
        <v>131</v>
      </c>
      <c r="V8" s="22">
        <v>46371</v>
      </c>
      <c r="W8" t="s">
        <v>105</v>
      </c>
      <c r="X8" t="s">
        <v>132</v>
      </c>
      <c r="Y8" t="s">
        <v>133</v>
      </c>
      <c r="Z8" t="s">
        <v>134</v>
      </c>
      <c r="AA8" t="str">
        <f t="array" ref="AA8">_xlfn.TEXTJOIN(", ",TRUE,_xlfn._xlws.FILTER($AB$1:$AI$1,$AB8:$AI8="Yes"))</f>
        <v>Data Governance &amp; Quality, Data Security &amp; Privacy</v>
      </c>
      <c r="AF8" t="s">
        <v>79</v>
      </c>
      <c r="AG8" t="s">
        <v>79</v>
      </c>
      <c r="AJ8" t="s">
        <v>135</v>
      </c>
      <c r="AK8" t="s">
        <v>126</v>
      </c>
      <c r="AL8" t="s">
        <v>127</v>
      </c>
    </row>
    <row r="9" spans="1:38" ht="43.5" customHeight="1" x14ac:dyDescent="0.35">
      <c r="A9" t="s">
        <v>136</v>
      </c>
      <c r="B9" t="s">
        <v>70</v>
      </c>
      <c r="C9" t="s">
        <v>71</v>
      </c>
      <c r="D9" t="s">
        <v>85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t="s">
        <v>86</v>
      </c>
      <c r="P9" t="str">
        <f t="shared" si="0"/>
        <v>Bench</v>
      </c>
      <c r="Q9" s="7">
        <v>1</v>
      </c>
      <c r="R9" s="7">
        <v>1</v>
      </c>
      <c r="S9" s="7">
        <v>1</v>
      </c>
      <c r="T9" s="7">
        <v>1</v>
      </c>
      <c r="U9" t="s">
        <v>74</v>
      </c>
      <c r="V9" s="22"/>
      <c r="W9" t="s">
        <v>75</v>
      </c>
      <c r="X9" t="s">
        <v>76</v>
      </c>
      <c r="Y9" t="s">
        <v>137</v>
      </c>
      <c r="Z9" t="s">
        <v>138</v>
      </c>
      <c r="AA9" t="str">
        <f t="array" ref="AA9">_xlfn.TEXTJOIN(", ",TRUE,_xlfn._xlws.FILTER($AB$1:$AI$1,$AB9:$AI9="Yes"))</f>
        <v>Data Engineering, Artificial Intelligence (AI) &amp; Machine Learning</v>
      </c>
      <c r="AB9" t="s">
        <v>79</v>
      </c>
      <c r="AE9" t="s">
        <v>79</v>
      </c>
      <c r="AJ9" t="s">
        <v>139</v>
      </c>
      <c r="AK9" t="s">
        <v>91</v>
      </c>
      <c r="AL9" t="s">
        <v>82</v>
      </c>
    </row>
    <row r="10" spans="1:38" ht="43.5" customHeight="1" x14ac:dyDescent="0.35">
      <c r="A10" t="s">
        <v>19</v>
      </c>
      <c r="B10" t="s">
        <v>92</v>
      </c>
      <c r="C10" t="s">
        <v>16</v>
      </c>
      <c r="D10" t="s">
        <v>94</v>
      </c>
      <c r="E10" s="7">
        <v>1</v>
      </c>
      <c r="F10" s="7">
        <v>1</v>
      </c>
      <c r="G10" s="7">
        <v>1</v>
      </c>
      <c r="H10" s="7">
        <v>1</v>
      </c>
      <c r="I10" s="7">
        <v>1</v>
      </c>
      <c r="J10" s="7">
        <v>1</v>
      </c>
      <c r="K10" s="7">
        <v>1</v>
      </c>
      <c r="L10" s="7">
        <v>1</v>
      </c>
      <c r="M10" s="7">
        <v>1</v>
      </c>
      <c r="N10" s="7">
        <v>1</v>
      </c>
      <c r="O10" t="s">
        <v>140</v>
      </c>
      <c r="P10" t="str">
        <f t="shared" si="0"/>
        <v>NA</v>
      </c>
      <c r="Q10" s="7">
        <v>0</v>
      </c>
      <c r="R10" s="7">
        <v>0</v>
      </c>
      <c r="S10" s="7">
        <v>0</v>
      </c>
      <c r="T10" s="7">
        <v>0</v>
      </c>
      <c r="U10" t="s">
        <v>96</v>
      </c>
      <c r="V10" s="22">
        <v>46553</v>
      </c>
      <c r="W10" t="s">
        <v>75</v>
      </c>
      <c r="X10" t="s">
        <v>141</v>
      </c>
      <c r="Y10" t="s">
        <v>142</v>
      </c>
      <c r="Z10" t="s">
        <v>143</v>
      </c>
      <c r="AA10" t="str">
        <f t="array" ref="AA10">_xlfn.TEXTJOIN(", ",TRUE,_xlfn._xlws.FILTER($AB$1:$AI$1,$AB10:$AI10="Yes"))</f>
        <v>Business Intelligence &amp; Analytics, Data Governance &amp; Quality, Data Strategy &amp; Management</v>
      </c>
      <c r="AD10" t="s">
        <v>79</v>
      </c>
      <c r="AF10" t="s">
        <v>79</v>
      </c>
      <c r="AH10" t="s">
        <v>79</v>
      </c>
      <c r="AJ10" t="s">
        <v>144</v>
      </c>
      <c r="AK10" t="s">
        <v>101</v>
      </c>
      <c r="AL10" t="s">
        <v>102</v>
      </c>
    </row>
    <row r="11" spans="1:38" ht="43.5" customHeight="1" x14ac:dyDescent="0.35">
      <c r="A11" t="s">
        <v>12</v>
      </c>
      <c r="B11" t="s">
        <v>70</v>
      </c>
      <c r="C11" t="s">
        <v>93</v>
      </c>
      <c r="D11" t="s">
        <v>94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7">
        <v>1</v>
      </c>
      <c r="K11" s="7">
        <v>1</v>
      </c>
      <c r="L11" s="7">
        <v>1</v>
      </c>
      <c r="M11" s="7">
        <v>1</v>
      </c>
      <c r="N11" s="7">
        <v>1</v>
      </c>
      <c r="O11" t="s">
        <v>145</v>
      </c>
      <c r="P11" t="str">
        <f t="shared" si="0"/>
        <v>NA</v>
      </c>
      <c r="Q11" s="7">
        <v>0</v>
      </c>
      <c r="R11" s="7">
        <v>0</v>
      </c>
      <c r="S11" s="7">
        <v>0</v>
      </c>
      <c r="T11" s="7">
        <v>0</v>
      </c>
      <c r="U11" t="s">
        <v>96</v>
      </c>
      <c r="V11" s="22">
        <v>46413</v>
      </c>
      <c r="W11" t="s">
        <v>121</v>
      </c>
      <c r="X11" t="s">
        <v>146</v>
      </c>
      <c r="Y11" t="s">
        <v>147</v>
      </c>
      <c r="Z11" t="s">
        <v>148</v>
      </c>
      <c r="AA11" t="str">
        <f t="array" ref="AA11">_xlfn.TEXTJOIN(", ",TRUE,_xlfn._xlws.FILTER($AB$1:$AI$1,$AB11:$AI11="Yes"))</f>
        <v>Data Engineering, Cloud Data Platforms &amp; Operations</v>
      </c>
      <c r="AB11" t="s">
        <v>79</v>
      </c>
      <c r="AI11" t="s">
        <v>79</v>
      </c>
      <c r="AJ11" t="s">
        <v>149</v>
      </c>
      <c r="AK11" t="s">
        <v>118</v>
      </c>
      <c r="AL11" t="s">
        <v>82</v>
      </c>
    </row>
    <row r="12" spans="1:38" ht="43.5" customHeight="1" x14ac:dyDescent="0.35">
      <c r="A12" t="s">
        <v>13</v>
      </c>
      <c r="B12" t="s">
        <v>92</v>
      </c>
      <c r="C12" t="s">
        <v>84</v>
      </c>
      <c r="D12" t="s">
        <v>150</v>
      </c>
      <c r="E12" s="7">
        <v>0.2</v>
      </c>
      <c r="F12" s="7">
        <v>0.2</v>
      </c>
      <c r="G12" s="7">
        <v>0.2</v>
      </c>
      <c r="H12" s="7">
        <v>0.2</v>
      </c>
      <c r="I12" s="7">
        <v>0.2</v>
      </c>
      <c r="J12" s="7">
        <v>0.2</v>
      </c>
      <c r="K12" s="7">
        <v>0.2</v>
      </c>
      <c r="L12" s="7">
        <v>0.2</v>
      </c>
      <c r="M12" s="7">
        <v>0.2</v>
      </c>
      <c r="N12" s="7">
        <v>0.2</v>
      </c>
      <c r="O12" t="s">
        <v>151</v>
      </c>
      <c r="P12" t="str">
        <f t="shared" si="0"/>
        <v>Partial Bench</v>
      </c>
      <c r="Q12" s="7">
        <v>0.8</v>
      </c>
      <c r="R12" s="7">
        <v>0.8</v>
      </c>
      <c r="S12" s="7">
        <v>0.8</v>
      </c>
      <c r="T12" s="7">
        <v>0.8</v>
      </c>
      <c r="U12" t="s">
        <v>152</v>
      </c>
      <c r="V12" s="22">
        <v>46427</v>
      </c>
      <c r="W12" t="s">
        <v>75</v>
      </c>
      <c r="X12" t="s">
        <v>153</v>
      </c>
      <c r="Y12" t="s">
        <v>154</v>
      </c>
      <c r="Z12" t="s">
        <v>155</v>
      </c>
      <c r="AA12" t="str">
        <f t="array" ref="AA12">_xlfn.TEXTJOIN(", ",TRUE,_xlfn._xlws.FILTER($AB$1:$AI$1,$AB12:$AI12="Yes"))</f>
        <v>Business Intelligence &amp; Analytics</v>
      </c>
      <c r="AD12" t="s">
        <v>79</v>
      </c>
      <c r="AJ12" t="s">
        <v>156</v>
      </c>
      <c r="AK12" t="s">
        <v>118</v>
      </c>
      <c r="AL12" t="s">
        <v>82</v>
      </c>
    </row>
    <row r="13" spans="1:38" ht="43.5" customHeight="1" x14ac:dyDescent="0.35">
      <c r="A13" t="s">
        <v>27</v>
      </c>
      <c r="B13" t="s">
        <v>70</v>
      </c>
      <c r="C13" t="s">
        <v>119</v>
      </c>
      <c r="D13" t="s">
        <v>94</v>
      </c>
      <c r="E13" s="7">
        <v>1</v>
      </c>
      <c r="F13" s="7">
        <v>1</v>
      </c>
      <c r="G13" s="7">
        <v>1</v>
      </c>
      <c r="H13" s="7">
        <v>1</v>
      </c>
      <c r="I13" s="7">
        <v>1</v>
      </c>
      <c r="J13" s="7">
        <v>1</v>
      </c>
      <c r="K13" s="7">
        <v>1</v>
      </c>
      <c r="L13" s="7">
        <v>1</v>
      </c>
      <c r="M13" s="7">
        <v>1</v>
      </c>
      <c r="N13" s="7">
        <v>1</v>
      </c>
      <c r="O13" t="s">
        <v>157</v>
      </c>
      <c r="P13" t="str">
        <f t="shared" si="0"/>
        <v>NA</v>
      </c>
      <c r="Q13" s="7">
        <v>0</v>
      </c>
      <c r="R13" s="7">
        <v>0</v>
      </c>
      <c r="S13" s="7">
        <v>0</v>
      </c>
      <c r="T13" s="7">
        <v>0</v>
      </c>
      <c r="U13" t="s">
        <v>96</v>
      </c>
      <c r="V13" s="22">
        <v>46567</v>
      </c>
      <c r="W13" t="s">
        <v>105</v>
      </c>
      <c r="X13" t="s">
        <v>158</v>
      </c>
      <c r="Y13" t="s">
        <v>159</v>
      </c>
      <c r="Z13" t="s">
        <v>160</v>
      </c>
      <c r="AA13" t="str">
        <f t="array" ref="AA13">_xlfn.TEXTJOIN(", ",TRUE,_xlfn._xlws.FILTER($AB$1:$AI$1,$AB13:$AI13="Yes"))</f>
        <v>Business Intelligence &amp; Analytics, Artificial Intelligence (AI) &amp; Machine Learning</v>
      </c>
      <c r="AD13" t="s">
        <v>79</v>
      </c>
      <c r="AE13" t="s">
        <v>79</v>
      </c>
      <c r="AJ13" t="s">
        <v>161</v>
      </c>
      <c r="AK13" t="s">
        <v>126</v>
      </c>
      <c r="AL13" t="s">
        <v>127</v>
      </c>
    </row>
    <row r="14" spans="1:38" ht="43.5" customHeight="1" x14ac:dyDescent="0.35">
      <c r="A14" t="s">
        <v>20</v>
      </c>
      <c r="B14" t="s">
        <v>92</v>
      </c>
      <c r="C14" t="s">
        <v>110</v>
      </c>
      <c r="D14" t="s">
        <v>162</v>
      </c>
      <c r="E14" s="7">
        <v>0.6</v>
      </c>
      <c r="F14" s="7">
        <v>0.6</v>
      </c>
      <c r="G14" s="7">
        <v>0.6</v>
      </c>
      <c r="H14" s="7">
        <v>0.6</v>
      </c>
      <c r="I14" s="7">
        <v>0.6</v>
      </c>
      <c r="J14" s="7">
        <v>0.6</v>
      </c>
      <c r="K14" s="7">
        <v>0.6</v>
      </c>
      <c r="L14" s="7">
        <v>0.6</v>
      </c>
      <c r="M14" s="7">
        <v>0.6</v>
      </c>
      <c r="N14" s="7">
        <v>0.6</v>
      </c>
      <c r="O14" t="s">
        <v>163</v>
      </c>
      <c r="P14" t="str">
        <f t="shared" si="0"/>
        <v>Partial Bench</v>
      </c>
      <c r="Q14" s="7">
        <v>0.4</v>
      </c>
      <c r="R14" s="7">
        <v>0.4</v>
      </c>
      <c r="S14" s="7">
        <v>0.4</v>
      </c>
      <c r="T14" s="7">
        <v>0.4</v>
      </c>
      <c r="U14" t="s">
        <v>164</v>
      </c>
      <c r="V14" s="22">
        <v>46497</v>
      </c>
      <c r="W14" t="s">
        <v>75</v>
      </c>
      <c r="X14" t="s">
        <v>165</v>
      </c>
      <c r="Y14" t="s">
        <v>166</v>
      </c>
      <c r="Z14" t="s">
        <v>167</v>
      </c>
      <c r="AA14" t="str">
        <f t="array" ref="AA14">_xlfn.TEXTJOIN(", ",TRUE,_xlfn._xlws.FILTER($AB$1:$AI$1,$AB14:$AI14="Yes"))</f>
        <v>Data Governance &amp; Quality</v>
      </c>
      <c r="AF14" t="s">
        <v>79</v>
      </c>
      <c r="AJ14" t="s">
        <v>132</v>
      </c>
      <c r="AK14" t="s">
        <v>101</v>
      </c>
      <c r="AL14" t="s">
        <v>102</v>
      </c>
    </row>
    <row r="15" spans="1:38" ht="43.5" customHeight="1" x14ac:dyDescent="0.35">
      <c r="A15" t="s">
        <v>28</v>
      </c>
      <c r="B15" t="s">
        <v>70</v>
      </c>
      <c r="C15" t="s">
        <v>103</v>
      </c>
      <c r="D15" t="s">
        <v>94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7">
        <v>1</v>
      </c>
      <c r="K15" s="7">
        <v>1</v>
      </c>
      <c r="L15" s="7">
        <v>1</v>
      </c>
      <c r="M15" s="7">
        <v>1</v>
      </c>
      <c r="N15" s="7">
        <v>1</v>
      </c>
      <c r="O15" t="s">
        <v>168</v>
      </c>
      <c r="P15" t="str">
        <f t="shared" si="0"/>
        <v>NA</v>
      </c>
      <c r="Q15" s="7">
        <v>0</v>
      </c>
      <c r="R15" s="7">
        <v>0</v>
      </c>
      <c r="S15" s="7">
        <v>0</v>
      </c>
      <c r="T15" s="7">
        <v>0</v>
      </c>
      <c r="U15" t="s">
        <v>96</v>
      </c>
      <c r="V15" s="22">
        <v>46455</v>
      </c>
      <c r="W15" t="s">
        <v>75</v>
      </c>
      <c r="X15" t="s">
        <v>169</v>
      </c>
      <c r="Y15" t="s">
        <v>170</v>
      </c>
      <c r="Z15" t="s">
        <v>171</v>
      </c>
      <c r="AA15" t="str">
        <f t="array" ref="AA15">_xlfn.TEXTJOIN(", ",TRUE,_xlfn._xlws.FILTER($AB$1:$AI$1,$AB15:$AI15="Yes"))</f>
        <v>Data Architecture, Data Strategy &amp; Management, Cloud Data Platforms &amp; Operations</v>
      </c>
      <c r="AC15" t="s">
        <v>79</v>
      </c>
      <c r="AH15" t="s">
        <v>79</v>
      </c>
      <c r="AI15" t="s">
        <v>79</v>
      </c>
      <c r="AJ15" t="s">
        <v>172</v>
      </c>
      <c r="AK15" t="s">
        <v>126</v>
      </c>
      <c r="AL15" t="s">
        <v>127</v>
      </c>
    </row>
    <row r="16" spans="1:38" ht="43.5" customHeight="1" x14ac:dyDescent="0.35">
      <c r="A16" t="s">
        <v>21</v>
      </c>
      <c r="B16" t="s">
        <v>92</v>
      </c>
      <c r="C16" t="s">
        <v>93</v>
      </c>
      <c r="D16" t="s">
        <v>94</v>
      </c>
      <c r="E16" s="7">
        <v>1</v>
      </c>
      <c r="F16" s="7">
        <v>1</v>
      </c>
      <c r="G16" s="7">
        <v>1</v>
      </c>
      <c r="H16" s="7">
        <v>1</v>
      </c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t="s">
        <v>173</v>
      </c>
      <c r="P16" t="str">
        <f t="shared" si="0"/>
        <v>NA</v>
      </c>
      <c r="Q16" s="7">
        <v>0</v>
      </c>
      <c r="R16" s="7">
        <v>0</v>
      </c>
      <c r="S16" s="7">
        <v>0</v>
      </c>
      <c r="T16" s="7">
        <v>0.3846</v>
      </c>
      <c r="U16" t="s">
        <v>174</v>
      </c>
      <c r="V16" s="22">
        <v>46329</v>
      </c>
      <c r="W16" t="s">
        <v>105</v>
      </c>
      <c r="X16" t="s">
        <v>175</v>
      </c>
      <c r="Y16" t="s">
        <v>176</v>
      </c>
      <c r="Z16" t="s">
        <v>177</v>
      </c>
      <c r="AA16" t="str">
        <f t="array" ref="AA16">_xlfn.TEXTJOIN(", ",TRUE,_xlfn._xlws.FILTER($AB$1:$AI$1,$AB16:$AI16="Yes"))</f>
        <v>Data Governance &amp; Quality, Data Security &amp; Privacy</v>
      </c>
      <c r="AF16" t="s">
        <v>79</v>
      </c>
      <c r="AG16" t="s">
        <v>79</v>
      </c>
      <c r="AJ16" t="s">
        <v>178</v>
      </c>
      <c r="AK16" t="s">
        <v>101</v>
      </c>
      <c r="AL16" t="s">
        <v>102</v>
      </c>
    </row>
    <row r="17" spans="1:38" ht="43.5" customHeight="1" x14ac:dyDescent="0.35">
      <c r="A17" t="s">
        <v>29</v>
      </c>
      <c r="B17" t="s">
        <v>70</v>
      </c>
      <c r="C17" t="s">
        <v>128</v>
      </c>
      <c r="D17" t="s">
        <v>111</v>
      </c>
      <c r="E17" s="7">
        <v>0.5</v>
      </c>
      <c r="F17" s="7">
        <v>0</v>
      </c>
      <c r="G17" s="7">
        <v>0.5</v>
      </c>
      <c r="H17" s="7">
        <v>0.5</v>
      </c>
      <c r="I17" s="7">
        <v>0.5</v>
      </c>
      <c r="J17" s="7">
        <v>0.5</v>
      </c>
      <c r="K17" s="7">
        <v>0.5</v>
      </c>
      <c r="L17" s="7">
        <v>0.5</v>
      </c>
      <c r="M17" s="7">
        <v>0.5</v>
      </c>
      <c r="N17" s="7">
        <v>0.5</v>
      </c>
      <c r="O17" t="s">
        <v>179</v>
      </c>
      <c r="P17" t="str">
        <f t="shared" si="0"/>
        <v>Partial Bench</v>
      </c>
      <c r="Q17" s="7">
        <v>0.5</v>
      </c>
      <c r="R17" s="7">
        <v>0.5</v>
      </c>
      <c r="S17" s="7">
        <v>0.5</v>
      </c>
      <c r="T17" s="7">
        <v>0.76919999999999999</v>
      </c>
      <c r="U17" t="s">
        <v>180</v>
      </c>
      <c r="V17" s="22">
        <v>46301</v>
      </c>
      <c r="W17" t="s">
        <v>75</v>
      </c>
      <c r="X17" t="s">
        <v>181</v>
      </c>
      <c r="Y17" t="s">
        <v>182</v>
      </c>
      <c r="Z17" t="s">
        <v>183</v>
      </c>
      <c r="AA17" t="str">
        <f t="array" ref="AA17">_xlfn.TEXTJOIN(", ",TRUE,_xlfn._xlws.FILTER($AB$1:$AI$1,$AB17:$AI17="Yes"))</f>
        <v>Data Engineering, Cloud Data Platforms &amp; Operations</v>
      </c>
      <c r="AB17" t="s">
        <v>79</v>
      </c>
      <c r="AI17" t="s">
        <v>79</v>
      </c>
      <c r="AJ17" t="s">
        <v>184</v>
      </c>
      <c r="AK17" t="s">
        <v>126</v>
      </c>
      <c r="AL17" t="s">
        <v>127</v>
      </c>
    </row>
    <row r="18" spans="1:38" ht="43.5" customHeight="1" x14ac:dyDescent="0.35">
      <c r="A18" t="s">
        <v>14</v>
      </c>
      <c r="B18" t="s">
        <v>92</v>
      </c>
      <c r="C18" t="s">
        <v>119</v>
      </c>
      <c r="D18" t="s">
        <v>94</v>
      </c>
      <c r="E18" s="7">
        <v>1</v>
      </c>
      <c r="F18" s="7">
        <v>1</v>
      </c>
      <c r="G18" s="7">
        <v>1</v>
      </c>
      <c r="H18" s="7">
        <v>1</v>
      </c>
      <c r="I18" s="7">
        <v>1</v>
      </c>
      <c r="J18" s="7">
        <v>1</v>
      </c>
      <c r="K18" s="7">
        <v>1</v>
      </c>
      <c r="L18" s="7">
        <v>1</v>
      </c>
      <c r="M18" s="7">
        <v>1</v>
      </c>
      <c r="N18" s="7">
        <v>1</v>
      </c>
      <c r="O18" t="s">
        <v>145</v>
      </c>
      <c r="P18" t="str">
        <f t="shared" si="0"/>
        <v>NA</v>
      </c>
      <c r="Q18" s="7">
        <v>0</v>
      </c>
      <c r="R18" s="7">
        <v>0</v>
      </c>
      <c r="S18" s="7">
        <v>0</v>
      </c>
      <c r="T18" s="7">
        <v>0</v>
      </c>
      <c r="U18" t="s">
        <v>96</v>
      </c>
      <c r="V18" s="22">
        <v>46399</v>
      </c>
      <c r="W18" t="s">
        <v>75</v>
      </c>
      <c r="X18" t="s">
        <v>185</v>
      </c>
      <c r="Y18" t="s">
        <v>186</v>
      </c>
      <c r="Z18" t="s">
        <v>187</v>
      </c>
      <c r="AA18" t="str">
        <f t="array" ref="AA18">_xlfn.TEXTJOIN(", ",TRUE,_xlfn._xlws.FILTER($AB$1:$AI$1,$AB18:$AI18="Yes"))</f>
        <v>Business Intelligence &amp; Analytics, Data Strategy &amp; Management</v>
      </c>
      <c r="AD18" t="s">
        <v>79</v>
      </c>
      <c r="AH18" t="s">
        <v>79</v>
      </c>
      <c r="AJ18" t="s">
        <v>188</v>
      </c>
      <c r="AK18" t="s">
        <v>118</v>
      </c>
      <c r="AL18" t="s">
        <v>82</v>
      </c>
    </row>
    <row r="19" spans="1:38" ht="43.5" customHeight="1" x14ac:dyDescent="0.35">
      <c r="A19" t="s">
        <v>22</v>
      </c>
      <c r="B19" t="s">
        <v>70</v>
      </c>
      <c r="C19" t="s">
        <v>84</v>
      </c>
      <c r="D19" t="s">
        <v>94</v>
      </c>
      <c r="E19" s="7">
        <v>1</v>
      </c>
      <c r="F19" s="7">
        <v>1</v>
      </c>
      <c r="G19" s="7">
        <v>1</v>
      </c>
      <c r="H19" s="7">
        <v>1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t="s">
        <v>189</v>
      </c>
      <c r="P19" t="str">
        <f t="shared" si="0"/>
        <v>NA</v>
      </c>
      <c r="Q19" s="7">
        <v>0</v>
      </c>
      <c r="R19" s="7">
        <v>0</v>
      </c>
      <c r="S19" s="7">
        <v>0</v>
      </c>
      <c r="T19" s="7">
        <v>0.23080000000000001</v>
      </c>
      <c r="U19" t="s">
        <v>190</v>
      </c>
      <c r="V19" s="22">
        <v>46357</v>
      </c>
      <c r="W19" t="s">
        <v>121</v>
      </c>
      <c r="X19" t="s">
        <v>191</v>
      </c>
      <c r="Y19" t="s">
        <v>192</v>
      </c>
      <c r="Z19" t="s">
        <v>193</v>
      </c>
      <c r="AA19" t="str">
        <f t="array" ref="AA19">_xlfn.TEXTJOIN(", ",TRUE,_xlfn._xlws.FILTER($AB$1:$AI$1,$AB19:$AI19="Yes"))</f>
        <v>Data Engineering, Artificial Intelligence (AI) &amp; Machine Learning</v>
      </c>
      <c r="AB19" t="s">
        <v>79</v>
      </c>
      <c r="AE19" t="s">
        <v>79</v>
      </c>
      <c r="AJ19" t="s">
        <v>194</v>
      </c>
      <c r="AK19" t="s">
        <v>101</v>
      </c>
      <c r="AL19" t="s">
        <v>102</v>
      </c>
    </row>
    <row r="20" spans="1:38" ht="43.5" customHeight="1" x14ac:dyDescent="0.35">
      <c r="A20" t="s">
        <v>195</v>
      </c>
      <c r="B20" t="s">
        <v>92</v>
      </c>
      <c r="C20" t="s">
        <v>71</v>
      </c>
      <c r="D20" t="s">
        <v>85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t="s">
        <v>86</v>
      </c>
      <c r="P20" t="str">
        <f t="shared" si="0"/>
        <v>Bench</v>
      </c>
      <c r="Q20" s="7">
        <v>1</v>
      </c>
      <c r="R20" s="7">
        <v>1</v>
      </c>
      <c r="S20" s="7">
        <v>1</v>
      </c>
      <c r="T20" s="7">
        <v>1</v>
      </c>
      <c r="U20" t="s">
        <v>74</v>
      </c>
      <c r="V20" s="22"/>
      <c r="W20" t="s">
        <v>75</v>
      </c>
      <c r="X20" t="s">
        <v>76</v>
      </c>
      <c r="Y20" t="s">
        <v>196</v>
      </c>
      <c r="Z20" t="s">
        <v>197</v>
      </c>
      <c r="AA20" t="str">
        <f t="array" ref="AA20">_xlfn.TEXTJOIN(", ",TRUE,_xlfn._xlws.FILTER($AB$1:$AI$1,$AB20:$AI20="Yes"))</f>
        <v>Data Engineering, Business Intelligence &amp; Analytics</v>
      </c>
      <c r="AB20" t="s">
        <v>79</v>
      </c>
      <c r="AD20" t="s">
        <v>79</v>
      </c>
      <c r="AJ20" t="s">
        <v>114</v>
      </c>
      <c r="AK20" t="s">
        <v>91</v>
      </c>
      <c r="AL20" t="s">
        <v>127</v>
      </c>
    </row>
    <row r="21" spans="1:38" ht="43.5" customHeight="1" x14ac:dyDescent="0.35">
      <c r="A21" t="s">
        <v>30</v>
      </c>
      <c r="B21" t="s">
        <v>70</v>
      </c>
      <c r="C21" t="s">
        <v>16</v>
      </c>
      <c r="D21" t="s">
        <v>94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7">
        <v>1</v>
      </c>
      <c r="K21" s="7">
        <v>1</v>
      </c>
      <c r="L21" s="7">
        <v>1</v>
      </c>
      <c r="M21" s="7">
        <v>1</v>
      </c>
      <c r="N21" s="7">
        <v>1</v>
      </c>
      <c r="O21" t="s">
        <v>198</v>
      </c>
      <c r="P21" t="str">
        <f t="shared" si="0"/>
        <v>NA</v>
      </c>
      <c r="Q21" s="7">
        <v>0</v>
      </c>
      <c r="R21" s="7">
        <v>0</v>
      </c>
      <c r="S21" s="7">
        <v>0</v>
      </c>
      <c r="T21" s="7">
        <v>0</v>
      </c>
      <c r="U21" t="s">
        <v>96</v>
      </c>
      <c r="V21" s="22">
        <v>46602</v>
      </c>
      <c r="W21" t="s">
        <v>75</v>
      </c>
      <c r="X21" t="s">
        <v>199</v>
      </c>
      <c r="Y21" t="s">
        <v>200</v>
      </c>
      <c r="Z21" t="s">
        <v>201</v>
      </c>
      <c r="AA21" t="str">
        <f t="array" ref="AA21">_xlfn.TEXTJOIN(", ",TRUE,_xlfn._xlws.FILTER($AB$1:$AI$1,$AB21:$AI21="Yes"))</f>
        <v>Data Architecture, Data Strategy &amp; Management, Cloud Data Platforms &amp; Operations</v>
      </c>
      <c r="AC21" t="s">
        <v>79</v>
      </c>
      <c r="AH21" t="s">
        <v>79</v>
      </c>
      <c r="AI21" t="s">
        <v>79</v>
      </c>
      <c r="AJ21" t="s">
        <v>202</v>
      </c>
      <c r="AK21" t="s">
        <v>126</v>
      </c>
      <c r="AL21" t="s">
        <v>127</v>
      </c>
    </row>
  </sheetData>
  <autoFilter ref="A1:AL2" xr:uid="{00000000-0009-0000-0000-000000000000}"/>
  <conditionalFormatting sqref="E2:N2">
    <cfRule type="cellIs" dxfId="3" priority="5" operator="lessThan">
      <formula>0.29</formula>
    </cfRule>
    <cfRule type="cellIs" dxfId="2" priority="6" operator="between">
      <formula>0.3</formula>
      <formula>0.8999</formula>
    </cfRule>
    <cfRule type="cellIs" dxfId="1" priority="7" stopIfTrue="1" operator="between">
      <formula>0.7</formula>
      <formula>0.8</formula>
    </cfRule>
    <cfRule type="cellIs" dxfId="0" priority="8" operator="greaterThanOrEqual">
      <formula>0.9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zoomScale="88" zoomScaleNormal="100" workbookViewId="0">
      <pane ySplit="1" topLeftCell="A2" activePane="bottomLeft" state="frozen"/>
      <selection activeCell="E360" sqref="C316:E360"/>
      <selection pane="bottomLeft" activeCell="H4" sqref="H4:H5"/>
    </sheetView>
  </sheetViews>
  <sheetFormatPr defaultRowHeight="14.5" x14ac:dyDescent="0.35"/>
  <cols>
    <col min="1" max="1" width="15.7265625" bestFit="1" customWidth="1"/>
    <col min="2" max="2" width="18.453125" bestFit="1" customWidth="1"/>
    <col min="3" max="3" width="23.1796875" bestFit="1" customWidth="1"/>
    <col min="4" max="4" width="23.1796875" style="9" customWidth="1"/>
    <col min="5" max="6" width="18" style="9" customWidth="1"/>
    <col min="7" max="7" width="18" style="12" customWidth="1"/>
    <col min="8" max="8" width="44.1796875" bestFit="1" customWidth="1"/>
    <col min="10" max="10" width="21.54296875" bestFit="1" customWidth="1"/>
    <col min="11" max="11" width="33.453125" bestFit="1" customWidth="1"/>
    <col min="12" max="12" width="4.453125" bestFit="1" customWidth="1"/>
    <col min="13" max="13" width="5.453125" bestFit="1" customWidth="1"/>
  </cols>
  <sheetData>
    <row r="1" spans="1:8" ht="31" customHeight="1" thickBot="1" x14ac:dyDescent="0.4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21" t="s">
        <v>6</v>
      </c>
      <c r="H1" s="16" t="s">
        <v>7</v>
      </c>
    </row>
    <row r="2" spans="1:8" x14ac:dyDescent="0.35">
      <c r="A2" s="24" t="s">
        <v>8</v>
      </c>
      <c r="B2" s="24" t="s">
        <v>9</v>
      </c>
      <c r="C2" t="s">
        <v>10</v>
      </c>
      <c r="D2" t="str">
        <f>VLOOKUP(C2,Master!A:C,3,0)</f>
        <v>Intern (CS) 1</v>
      </c>
      <c r="F2" s="23">
        <v>46211</v>
      </c>
      <c r="G2" s="8">
        <v>0.3</v>
      </c>
    </row>
    <row r="3" spans="1:8" x14ac:dyDescent="0.35">
      <c r="A3" s="24"/>
      <c r="B3" s="24"/>
      <c r="C3" t="s">
        <v>11</v>
      </c>
      <c r="D3" t="str">
        <f>VLOOKUP(C3,Master!A:C,3,0)</f>
        <v>Associate 1</v>
      </c>
      <c r="E3" s="23">
        <v>46217</v>
      </c>
      <c r="F3" s="23">
        <v>46343</v>
      </c>
      <c r="G3" s="8">
        <v>0.5</v>
      </c>
    </row>
    <row r="4" spans="1:8" x14ac:dyDescent="0.35">
      <c r="A4" s="24"/>
      <c r="B4" s="24"/>
      <c r="C4" t="s">
        <v>12</v>
      </c>
      <c r="D4" t="str">
        <f>VLOOKUP(C4,Master!A:C,3,0)</f>
        <v>Senior 1</v>
      </c>
      <c r="E4" s="23">
        <v>46217</v>
      </c>
      <c r="F4" s="23">
        <v>46413</v>
      </c>
      <c r="G4" s="8">
        <v>1</v>
      </c>
    </row>
    <row r="5" spans="1:8" x14ac:dyDescent="0.35">
      <c r="A5" s="24"/>
      <c r="B5" s="24"/>
      <c r="C5" t="s">
        <v>13</v>
      </c>
      <c r="D5" t="str">
        <f>VLOOKUP(C5,Master!A:C,3,0)</f>
        <v>Associate 2</v>
      </c>
      <c r="E5" s="23">
        <v>46217</v>
      </c>
      <c r="F5" s="23">
        <v>46427</v>
      </c>
      <c r="G5" s="8">
        <v>0.2</v>
      </c>
    </row>
    <row r="6" spans="1:8" x14ac:dyDescent="0.35">
      <c r="A6" s="24"/>
      <c r="B6" s="24"/>
      <c r="C6" t="s">
        <v>14</v>
      </c>
      <c r="D6" t="str">
        <f>VLOOKUP(C6,Master!A:C,3,0)</f>
        <v>Senior 2</v>
      </c>
      <c r="E6" s="23">
        <v>46217</v>
      </c>
      <c r="F6" s="23">
        <v>46399</v>
      </c>
      <c r="G6" s="8">
        <v>1</v>
      </c>
    </row>
    <row r="7" spans="1:8" x14ac:dyDescent="0.35">
      <c r="A7" s="24" t="s">
        <v>15</v>
      </c>
      <c r="B7" s="24" t="s">
        <v>16</v>
      </c>
      <c r="C7" t="s">
        <v>17</v>
      </c>
      <c r="D7" t="str">
        <f>VLOOKUP(C7,Master!A:C,3,0)</f>
        <v>Senior 1</v>
      </c>
      <c r="E7" s="23">
        <v>46217</v>
      </c>
      <c r="F7" s="23">
        <v>46497</v>
      </c>
      <c r="G7" s="8">
        <v>1</v>
      </c>
    </row>
    <row r="8" spans="1:8" x14ac:dyDescent="0.35">
      <c r="A8" s="24"/>
      <c r="B8" s="24"/>
      <c r="C8" t="s">
        <v>18</v>
      </c>
      <c r="D8" t="str">
        <f>VLOOKUP(C8,Master!A:C,3,0)</f>
        <v>Manager 1</v>
      </c>
      <c r="E8" s="23">
        <v>46217</v>
      </c>
      <c r="F8" s="23">
        <v>46469</v>
      </c>
      <c r="G8" s="8">
        <v>1</v>
      </c>
    </row>
    <row r="9" spans="1:8" x14ac:dyDescent="0.35">
      <c r="A9" s="24"/>
      <c r="B9" s="24"/>
      <c r="C9" t="s">
        <v>19</v>
      </c>
      <c r="D9" t="str">
        <f>VLOOKUP(C9,Master!A:C,3,0)</f>
        <v>Manager 2</v>
      </c>
      <c r="E9" s="23">
        <v>46217</v>
      </c>
      <c r="F9" s="23">
        <v>46553</v>
      </c>
      <c r="G9" s="8">
        <v>1</v>
      </c>
    </row>
    <row r="10" spans="1:8" x14ac:dyDescent="0.35">
      <c r="A10" s="24"/>
      <c r="B10" s="24"/>
      <c r="C10" t="s">
        <v>20</v>
      </c>
      <c r="D10" t="str">
        <f>VLOOKUP(C10,Master!A:C,3,0)</f>
        <v>Associate 1</v>
      </c>
      <c r="E10" s="23">
        <v>46217</v>
      </c>
      <c r="F10" s="23">
        <v>46497</v>
      </c>
      <c r="G10" s="8">
        <v>0.6</v>
      </c>
    </row>
    <row r="11" spans="1:8" x14ac:dyDescent="0.35">
      <c r="A11" s="24"/>
      <c r="B11" s="24"/>
      <c r="C11" t="s">
        <v>21</v>
      </c>
      <c r="D11" t="str">
        <f>VLOOKUP(C11,Master!A:C,3,0)</f>
        <v>Senior 1</v>
      </c>
      <c r="E11" s="23">
        <v>46217</v>
      </c>
      <c r="F11" s="23">
        <v>46329</v>
      </c>
      <c r="G11" s="8">
        <v>1</v>
      </c>
    </row>
    <row r="12" spans="1:8" ht="15" customHeight="1" thickBot="1" x14ac:dyDescent="0.4">
      <c r="A12" s="24"/>
      <c r="B12" s="24"/>
      <c r="C12" t="s">
        <v>22</v>
      </c>
      <c r="D12" t="str">
        <f>VLOOKUP(C12,Master!A:C,3,0)</f>
        <v>Associate 2</v>
      </c>
      <c r="E12" s="23">
        <v>46217</v>
      </c>
      <c r="F12" s="23">
        <v>46357</v>
      </c>
      <c r="G12" s="8">
        <v>1</v>
      </c>
    </row>
    <row r="13" spans="1:8" ht="29.5" customHeight="1" x14ac:dyDescent="0.35">
      <c r="A13" s="24" t="s">
        <v>23</v>
      </c>
      <c r="B13" s="24" t="s">
        <v>24</v>
      </c>
      <c r="C13" t="s">
        <v>25</v>
      </c>
      <c r="D13" t="str">
        <f>VLOOKUP(C13,Master!A:C,3,0)</f>
        <v>Senior 2</v>
      </c>
      <c r="E13" s="23">
        <v>46217</v>
      </c>
      <c r="F13" s="23">
        <v>46525</v>
      </c>
      <c r="G13" s="8">
        <v>1</v>
      </c>
    </row>
    <row r="14" spans="1:8" x14ac:dyDescent="0.35">
      <c r="A14" s="24"/>
      <c r="B14" s="24"/>
      <c r="C14" t="s">
        <v>26</v>
      </c>
      <c r="D14" t="str">
        <f>VLOOKUP(C14,Master!A:C,3,0)</f>
        <v>Associate 3</v>
      </c>
      <c r="E14" s="23">
        <v>46217</v>
      </c>
      <c r="F14" s="23">
        <v>46371</v>
      </c>
      <c r="G14" s="8">
        <v>0.75</v>
      </c>
    </row>
    <row r="15" spans="1:8" x14ac:dyDescent="0.35">
      <c r="A15" s="24"/>
      <c r="B15" s="24"/>
      <c r="C15" t="s">
        <v>27</v>
      </c>
      <c r="D15" t="str">
        <f>VLOOKUP(C15,Master!A:C,3,0)</f>
        <v>Senior 2</v>
      </c>
      <c r="E15" s="23">
        <v>46217</v>
      </c>
      <c r="F15" s="23">
        <v>46567</v>
      </c>
      <c r="G15" s="8">
        <v>1</v>
      </c>
    </row>
    <row r="16" spans="1:8" x14ac:dyDescent="0.35">
      <c r="A16" s="24"/>
      <c r="B16" s="24"/>
      <c r="C16" t="s">
        <v>28</v>
      </c>
      <c r="D16" t="str">
        <f>VLOOKUP(C16,Master!A:C,3,0)</f>
        <v>Manager 1</v>
      </c>
      <c r="E16" s="23">
        <v>46217</v>
      </c>
      <c r="F16" s="23">
        <v>46455</v>
      </c>
      <c r="G16" s="8">
        <v>1</v>
      </c>
    </row>
    <row r="17" spans="1:7" x14ac:dyDescent="0.35">
      <c r="A17" s="24"/>
      <c r="B17" s="24"/>
      <c r="C17" t="s">
        <v>29</v>
      </c>
      <c r="D17" t="str">
        <f>VLOOKUP(C17,Master!A:C,3,0)</f>
        <v>Associate 3</v>
      </c>
      <c r="E17" s="23">
        <v>46217</v>
      </c>
      <c r="F17" s="23">
        <v>46301</v>
      </c>
      <c r="G17" s="8">
        <v>0.5</v>
      </c>
    </row>
    <row r="18" spans="1:7" x14ac:dyDescent="0.35">
      <c r="A18" s="24"/>
      <c r="B18" s="24"/>
      <c r="C18" t="s">
        <v>30</v>
      </c>
      <c r="D18" t="str">
        <f>VLOOKUP(C18,Master!A:C,3,0)</f>
        <v>Manager 2</v>
      </c>
      <c r="E18" s="23">
        <v>46217</v>
      </c>
      <c r="F18" s="23">
        <v>46602</v>
      </c>
      <c r="G18" s="8">
        <v>1</v>
      </c>
    </row>
    <row r="20" spans="1:7" x14ac:dyDescent="0.35">
      <c r="A20" t="s">
        <v>31</v>
      </c>
    </row>
    <row r="22" spans="1:7" ht="15" customHeight="1" thickBot="1" x14ac:dyDescent="0.4"/>
    <row r="29" spans="1:7" ht="31.5" customHeight="1" x14ac:dyDescent="0.35"/>
  </sheetData>
  <autoFilter ref="A1:M1" xr:uid="{00000000-0009-0000-0000-000001000000}"/>
  <mergeCells count="6">
    <mergeCell ref="A13:A18"/>
    <mergeCell ref="B13:B18"/>
    <mergeCell ref="A7:A12"/>
    <mergeCell ref="A2:A6"/>
    <mergeCell ref="B7:B12"/>
    <mergeCell ref="B2:B6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Utilization by Engagement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Zhiying Song</dc:creator>
  <cp:lastModifiedBy>Grayson Sutedjo</cp:lastModifiedBy>
  <dcterms:created xsi:type="dcterms:W3CDTF">2025-02-27T03:26:54Z</dcterms:created>
  <dcterms:modified xsi:type="dcterms:W3CDTF">2026-08-19T15:13:22Z</dcterms:modified>
</cp:coreProperties>
</file>