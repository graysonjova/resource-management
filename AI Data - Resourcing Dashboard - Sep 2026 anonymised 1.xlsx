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780" yWindow="1780" windowWidth="14400" windowHeight="8170" tabRatio="819" firstSheet="5" activeTab="6" autoFilterDateGrouping="1"/>
  </bookViews>
  <sheets>
    <sheet xmlns:r="http://schemas.openxmlformats.org/officeDocument/2006/relationships" name="Delete" sheetId="1" state="hidden" r:id="rId1"/>
    <sheet xmlns:r="http://schemas.openxmlformats.org/officeDocument/2006/relationships" name="Summary - FY26 Utilization" sheetId="2" state="hidden" r:id="rId2"/>
    <sheet xmlns:r="http://schemas.openxmlformats.org/officeDocument/2006/relationships" name="Agenda" sheetId="3" state="hidden" r:id="rId3"/>
    <sheet xmlns:r="http://schemas.openxmlformats.org/officeDocument/2006/relationships" name="FY26-YTD Utilization" sheetId="4" state="hidden" r:id="rId4"/>
    <sheet xmlns:r="http://schemas.openxmlformats.org/officeDocument/2006/relationships" name="FY27-WTD Utilization" sheetId="5" state="hidden" r:id="rId5"/>
    <sheet xmlns:r="http://schemas.openxmlformats.org/officeDocument/2006/relationships" name="Master" sheetId="6" state="visible" r:id="rId6"/>
    <sheet xmlns:r="http://schemas.openxmlformats.org/officeDocument/2006/relationships" name="Utilization by Engagement" sheetId="7" state="visible" r:id="rId7"/>
    <sheet xmlns:r="http://schemas.openxmlformats.org/officeDocument/2006/relationships" name="Utilization by BD (2)" sheetId="8" state="hidden" r:id="rId8"/>
    <sheet xmlns:r="http://schemas.openxmlformats.org/officeDocument/2006/relationships" name="Working Sheet" sheetId="9" state="hidden" r:id="rId9"/>
    <sheet xmlns:r="http://schemas.openxmlformats.org/officeDocument/2006/relationships" name="Resources on Bench" sheetId="10" state="hidden" r:id="rId10"/>
    <sheet xmlns:r="http://schemas.openxmlformats.org/officeDocument/2006/relationships" name="Sheet5" sheetId="11" state="hidden" r:id="rId11"/>
    <sheet xmlns:r="http://schemas.openxmlformats.org/officeDocument/2006/relationships" name="SM" sheetId="12" state="hidden" r:id="rId12"/>
  </sheets>
  <externalReferences>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s>
  <definedNames>
    <definedName name="_xlnm._FilterDatabase" localSheetId="0" hidden="1">'Delete'!$A$1:$AA$93</definedName>
    <definedName name="_xlnm._FilterDatabase" localSheetId="5" hidden="1">'Master'!$A$1:$AL$72</definedName>
  </definedNames>
  <calcPr calcId="191028" fullCalcOnLoad="1"/>
</workbook>
</file>

<file path=xl/styles.xml><?xml version="1.0" encoding="utf-8"?>
<styleSheet xmlns="http://schemas.openxmlformats.org/spreadsheetml/2006/main">
  <numFmts count="3">
    <numFmt numFmtId="164" formatCode="0.0%;\-0.0%;0.0%"/>
    <numFmt numFmtId="165" formatCode="0%;\-0%;0%"/>
    <numFmt numFmtId="166" formatCode="dd\-mmm\-yy"/>
  </numFmts>
  <fonts count="22">
    <font>
      <name val="Aptos Narrow"/>
      <sz val="11"/>
    </font>
    <font>
      <name val="Aptos Narrow"/>
      <family val="2"/>
      <b val="1"/>
      <color rgb="FFFFFF00"/>
      <sz val="11"/>
    </font>
    <font>
      <name val="Aptos Narrow"/>
      <family val="2"/>
      <sz val="11"/>
    </font>
    <font>
      <name val="Aptos Narrow"/>
      <family val="2"/>
      <color rgb="FF000000"/>
      <sz val="11"/>
    </font>
    <font>
      <name val="Aptos Narrow"/>
      <family val="2"/>
      <color rgb="FF242424"/>
      <sz val="11"/>
    </font>
    <font>
      <name val="Aptos Narrow"/>
      <family val="2"/>
      <color rgb="FF242424"/>
      <sz val="11"/>
      <scheme val="minor"/>
    </font>
    <font>
      <name val="Aptos Narrow"/>
      <family val="2"/>
      <color rgb="FF000000"/>
      <sz val="11"/>
      <scheme val="minor"/>
    </font>
    <font>
      <name val="Aptos Narrow"/>
      <family val="2"/>
      <b val="1"/>
      <sz val="11"/>
    </font>
    <font>
      <name val="Aptos Narrow"/>
      <family val="2"/>
      <color theme="1"/>
      <sz val="11"/>
    </font>
    <font>
      <name val="Aptos Narrow"/>
      <sz val="11"/>
      <u val="single"/>
    </font>
    <font>
      <name val="Aptos Narrow"/>
      <family val="2"/>
      <color rgb="FFC00000"/>
      <sz val="11"/>
    </font>
    <font>
      <name val="Aptos Narrow"/>
      <family val="2"/>
      <b val="1"/>
      <color theme="0"/>
      <sz val="11"/>
    </font>
    <font>
      <name val="Aptos Narrow"/>
      <family val="2"/>
      <color theme="0"/>
      <sz val="11"/>
    </font>
    <font>
      <name val="Aptos Narrow"/>
      <color rgb="FF000000"/>
      <sz val="11"/>
    </font>
    <font>
      <name val="Aptos Narrow"/>
      <b val="1"/>
      <color rgb="FF000000"/>
      <sz val="11"/>
    </font>
    <font>
      <name val="Aptos Narrow"/>
      <family val="2"/>
      <b val="1"/>
      <sz val="14"/>
    </font>
    <font>
      <name val="Aptos Narrow"/>
      <family val="2"/>
      <sz val="14"/>
    </font>
    <font>
      <name val="Aptos Narrow"/>
      <family val="2"/>
      <color rgb="FFFF0000"/>
      <sz val="11"/>
    </font>
    <font>
      <name val="Aptos Narrow"/>
      <strike val="1"/>
      <sz val="11"/>
    </font>
    <font>
      <name val="Aptos"/>
      <family val="2"/>
      <sz val="12"/>
    </font>
    <font>
      <name val="Aptos"/>
      <family val="2"/>
      <sz val="11"/>
    </font>
    <font>
      <name val="Aptos Narrow"/>
      <sz val="8"/>
    </font>
  </fonts>
  <fills count="14">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0"/>
        <bgColor indexed="64"/>
      </patternFill>
    </fill>
    <fill>
      <patternFill patternType="solid">
        <fgColor rgb="FFFFC000"/>
        <bgColor indexed="64"/>
      </patternFill>
    </fill>
    <fill>
      <patternFill patternType="solid">
        <fgColor rgb="FF0070C0"/>
        <bgColor indexed="64"/>
      </patternFill>
    </fill>
    <fill>
      <patternFill patternType="solid">
        <fgColor theme="5" tint="0.7999816888943144"/>
        <bgColor indexed="64"/>
      </patternFill>
    </fill>
    <fill>
      <patternFill patternType="solid">
        <fgColor theme="3" tint="0.8999908444471572"/>
        <bgColor indexed="64"/>
      </patternFill>
    </fill>
    <fill>
      <patternFill patternType="solid">
        <fgColor rgb="FFC00000"/>
        <bgColor indexed="64"/>
      </patternFill>
    </fill>
    <fill>
      <patternFill patternType="solid">
        <fgColor rgb="FF92D050"/>
        <bgColor indexed="64"/>
      </patternFill>
    </fill>
  </fills>
  <borders count="61">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auto="1"/>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bottom/>
      <diagonal/>
    </border>
    <border>
      <left/>
      <right/>
      <top style="medium">
        <color indexed="64"/>
      </top>
      <bottom style="thin">
        <color indexed="64"/>
      </bottom>
      <diagonal/>
    </border>
    <border>
      <left/>
      <right/>
      <top style="medium">
        <color indexed="64"/>
      </top>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0" fontId="2" fillId="0" borderId="0"/>
  </cellStyleXfs>
  <cellXfs count="407">
    <xf numFmtId="0" fontId="0" fillId="0" borderId="0" pivotButton="0" quotePrefix="0" xfId="0"/>
    <xf numFmtId="164" fontId="0" fillId="0" borderId="0" pivotButton="0" quotePrefix="0" xfId="0"/>
    <xf numFmtId="0" fontId="0" fillId="0" borderId="0" applyAlignment="1" pivotButton="0" quotePrefix="0" xfId="0">
      <alignment horizontal="center" vertical="center" wrapText="1"/>
    </xf>
    <xf numFmtId="0" fontId="1" fillId="2" borderId="1" applyAlignment="1" pivotButton="0" quotePrefix="0" xfId="0">
      <alignment horizontal="center" vertical="top" wrapText="1"/>
    </xf>
    <xf numFmtId="0" fontId="7" fillId="4" borderId="1" applyAlignment="1" pivotButton="0" quotePrefix="0" xfId="1">
      <alignment horizontal="center" vertical="top" wrapText="1"/>
    </xf>
    <xf numFmtId="0" fontId="7" fillId="5" borderId="1" applyAlignment="1" pivotButton="0" quotePrefix="0" xfId="1">
      <alignment horizontal="center" vertical="top" wrapText="1"/>
    </xf>
    <xf numFmtId="0" fontId="7" fillId="5" borderId="0" applyAlignment="1" pivotButton="0" quotePrefix="0" xfId="1">
      <alignment horizontal="center" vertical="top" wrapText="1"/>
    </xf>
    <xf numFmtId="0" fontId="7" fillId="3" borderId="1" applyAlignment="1" pivotButton="0" quotePrefix="0" xfId="1">
      <alignment horizontal="center" vertical="top" wrapText="1"/>
    </xf>
    <xf numFmtId="0" fontId="3" fillId="0" borderId="0" pivotButton="0" quotePrefix="0" xfId="0"/>
    <xf numFmtId="0" fontId="0" fillId="0" borderId="0" applyAlignment="1" pivotButton="0" quotePrefix="0" xfId="0">
      <alignment vertical="top"/>
    </xf>
    <xf numFmtId="0" fontId="4" fillId="0" borderId="0" pivotButton="0" quotePrefix="0" xfId="1"/>
    <xf numFmtId="0" fontId="5" fillId="0" borderId="0" pivotButton="0" quotePrefix="0" xfId="1"/>
    <xf numFmtId="0" fontId="3" fillId="0" borderId="0" pivotButton="0" quotePrefix="0" xfId="1"/>
    <xf numFmtId="0" fontId="6" fillId="0" borderId="0" pivotButton="0" quotePrefix="0" xfId="0"/>
    <xf numFmtId="165" fontId="0" fillId="0" borderId="0" pivotButton="0" quotePrefix="0" xfId="0"/>
    <xf numFmtId="0" fontId="0" fillId="0" borderId="0" pivotButton="0" quotePrefix="0" xfId="1"/>
    <xf numFmtId="0" fontId="0" fillId="0" borderId="0" applyAlignment="1" pivotButton="0" quotePrefix="0" xfId="1">
      <alignment wrapText="1"/>
    </xf>
    <xf numFmtId="0" fontId="0" fillId="0" borderId="0" applyAlignment="1" pivotButton="0" quotePrefix="0" xfId="1">
      <alignment vertical="top"/>
    </xf>
    <xf numFmtId="0" fontId="0" fillId="3" borderId="0" pivotButton="0" quotePrefix="0" xfId="1"/>
    <xf numFmtId="17" fontId="0" fillId="0" borderId="0" applyAlignment="1" pivotButton="0" quotePrefix="0" xfId="1">
      <alignment wrapText="1"/>
    </xf>
    <xf numFmtId="0" fontId="0" fillId="3" borderId="0" applyAlignment="1" pivotButton="0" quotePrefix="0" xfId="1">
      <alignment wrapText="1"/>
    </xf>
    <xf numFmtId="165" fontId="0" fillId="0" borderId="0" applyAlignment="1" pivotButton="0" quotePrefix="0" xfId="0">
      <alignment wrapText="1"/>
    </xf>
    <xf numFmtId="0" fontId="0" fillId="6" borderId="0" pivotButton="0" quotePrefix="0" xfId="0"/>
    <xf numFmtId="0" fontId="0" fillId="0" borderId="0" applyAlignment="1" pivotButton="0" quotePrefix="0" xfId="0">
      <alignment wrapText="1"/>
    </xf>
    <xf numFmtId="0" fontId="0" fillId="6" borderId="0" applyAlignment="1" pivotButton="0" quotePrefix="0" xfId="0">
      <alignment wrapText="1"/>
    </xf>
    <xf numFmtId="0" fontId="2" fillId="0" borderId="0" pivotButton="0" quotePrefix="0" xfId="0"/>
    <xf numFmtId="0" fontId="2" fillId="0" borderId="0" applyAlignment="1" pivotButton="0" quotePrefix="0" xfId="1">
      <alignment wrapText="1"/>
    </xf>
    <xf numFmtId="0" fontId="2" fillId="0" borderId="0" pivotButton="0" quotePrefix="0" xfId="1"/>
    <xf numFmtId="166" fontId="0" fillId="0" borderId="0" pivotButton="0" quotePrefix="0" xfId="0"/>
    <xf numFmtId="0" fontId="9" fillId="0" borderId="0" pivotButton="0" quotePrefix="0" xfId="1"/>
    <xf numFmtId="9" fontId="0" fillId="0" borderId="0" pivotButton="0" quotePrefix="0" xfId="0"/>
    <xf numFmtId="0" fontId="0" fillId="0" borderId="0" applyAlignment="1" pivotButton="0" quotePrefix="0" xfId="0">
      <alignment horizontal="center"/>
    </xf>
    <xf numFmtId="0" fontId="0" fillId="0" borderId="0" applyAlignment="1" pivotButton="0" quotePrefix="0" xfId="1">
      <alignment horizontal="center" vertical="top"/>
    </xf>
    <xf numFmtId="0" fontId="0" fillId="0" borderId="0" applyAlignment="1" pivotButton="0" quotePrefix="0" xfId="0">
      <alignment horizontal="center" vertical="center"/>
    </xf>
    <xf numFmtId="9" fontId="0" fillId="0" borderId="0" applyAlignment="1" pivotButton="0" quotePrefix="0" xfId="1">
      <alignment horizontal="center" vertical="top"/>
    </xf>
    <xf numFmtId="0" fontId="0" fillId="0" borderId="0" applyAlignment="1" pivotButton="0" quotePrefix="0" xfId="1">
      <alignment horizontal="center" vertical="top" wrapText="1"/>
    </xf>
    <xf numFmtId="0" fontId="0" fillId="0" borderId="0" applyAlignment="1" pivotButton="0" quotePrefix="0" xfId="0">
      <alignment horizontal="center" vertical="top"/>
    </xf>
    <xf numFmtId="17" fontId="0" fillId="0" borderId="0" applyAlignment="1" pivotButton="0" quotePrefix="0" xfId="1">
      <alignment horizontal="center" vertical="top" wrapText="1"/>
    </xf>
    <xf numFmtId="165" fontId="0" fillId="0" borderId="0" applyAlignment="1" pivotButton="0" quotePrefix="0" xfId="0">
      <alignment horizontal="center" vertical="top"/>
    </xf>
    <xf numFmtId="0" fontId="3" fillId="0" borderId="0" applyAlignment="1" pivotButton="0" quotePrefix="0" xfId="1">
      <alignment horizontal="center" vertical="top"/>
    </xf>
    <xf numFmtId="14" fontId="0" fillId="0" borderId="0" applyAlignment="1" pivotButton="0" quotePrefix="0" xfId="1">
      <alignment horizontal="center" vertical="top" wrapText="1"/>
    </xf>
    <xf numFmtId="0" fontId="0" fillId="0" borderId="0" applyAlignment="1" pivotButton="0" quotePrefix="0" xfId="1">
      <alignment horizontal="left" vertical="top" wrapText="1"/>
    </xf>
    <xf numFmtId="14" fontId="0" fillId="0" borderId="0" applyAlignment="1" pivotButton="0" quotePrefix="0" xfId="1">
      <alignment horizontal="center" vertical="top"/>
    </xf>
    <xf numFmtId="0" fontId="5" fillId="0" borderId="0" applyAlignment="1" pivotButton="0" quotePrefix="0" xfId="1">
      <alignment wrapText="1"/>
    </xf>
    <xf numFmtId="0" fontId="0" fillId="0" borderId="2"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16" pivotButton="0" quotePrefix="0" xfId="0"/>
    <xf numFmtId="0" fontId="0" fillId="0" borderId="17"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18" applyAlignment="1" pivotButton="0" quotePrefix="0" xfId="0">
      <alignment horizontal="center"/>
    </xf>
    <xf numFmtId="0" fontId="0" fillId="3" borderId="0" applyAlignment="1" pivotButton="0" quotePrefix="0" xfId="0">
      <alignment wrapText="1"/>
    </xf>
    <xf numFmtId="0" fontId="7" fillId="0" borderId="0" pivotButton="0" quotePrefix="0" xfId="0"/>
    <xf numFmtId="0" fontId="10" fillId="0" borderId="0" applyAlignment="1" pivotButton="0" quotePrefix="0" xfId="0">
      <alignment wrapText="1"/>
    </xf>
    <xf numFmtId="0" fontId="2" fillId="3" borderId="0" pivotButton="0" quotePrefix="0" xfId="0"/>
    <xf numFmtId="0" fontId="2" fillId="8" borderId="0" pivotButton="0" quotePrefix="0" xfId="0"/>
    <xf numFmtId="0" fontId="10" fillId="0" borderId="0" applyAlignment="1" pivotButton="0" quotePrefix="0" xfId="0">
      <alignment vertical="center" wrapText="1"/>
    </xf>
    <xf numFmtId="0" fontId="0" fillId="3" borderId="0" applyAlignment="1" pivotButton="0" quotePrefix="1" xfId="0">
      <alignment wrapText="1"/>
    </xf>
    <xf numFmtId="0" fontId="0" fillId="8" borderId="0" applyAlignment="1" pivotButton="0" quotePrefix="0" xfId="0">
      <alignment wrapText="1"/>
    </xf>
    <xf numFmtId="0" fontId="11" fillId="0" borderId="0" applyAlignment="1" pivotButton="0" quotePrefix="0" xfId="0">
      <alignment horizontal="center"/>
    </xf>
    <xf numFmtId="1" fontId="11" fillId="0" borderId="0" applyAlignment="1" pivotButton="0" quotePrefix="0" xfId="0">
      <alignment horizontal="center"/>
    </xf>
    <xf numFmtId="0" fontId="12" fillId="0" borderId="0" pivotButton="0" quotePrefix="0" xfId="0"/>
    <xf numFmtId="9" fontId="12" fillId="0" borderId="0" pivotButton="0" quotePrefix="0" xfId="0"/>
    <xf numFmtId="1" fontId="12" fillId="0" borderId="0" applyAlignment="1" pivotButton="0" quotePrefix="0" xfId="0">
      <alignment horizontal="center"/>
    </xf>
    <xf numFmtId="9" fontId="12" fillId="0" borderId="0" applyAlignment="1" pivotButton="0" quotePrefix="0" xfId="0">
      <alignment horizontal="center"/>
    </xf>
    <xf numFmtId="0" fontId="12" fillId="0" borderId="0" applyAlignment="1" pivotButton="0" quotePrefix="0" xfId="0">
      <alignment horizontal="center"/>
    </xf>
    <xf numFmtId="1" fontId="12" fillId="0" borderId="0" pivotButton="0" quotePrefix="0" xfId="0"/>
    <xf numFmtId="0" fontId="2" fillId="0" borderId="18" applyAlignment="1" pivotButton="0" quotePrefix="0" xfId="0">
      <alignment horizontal="center" wrapText="1"/>
    </xf>
    <xf numFmtId="9" fontId="0" fillId="0" borderId="0" applyAlignment="1" pivotButton="0" quotePrefix="0" xfId="0">
      <alignment horizontal="center"/>
    </xf>
    <xf numFmtId="9" fontId="0" fillId="0" borderId="0" applyAlignment="1" pivotButton="0" quotePrefix="0" xfId="0">
      <alignment wrapText="1"/>
    </xf>
    <xf numFmtId="9" fontId="0" fillId="0" borderId="18" applyAlignment="1" pivotButton="0" quotePrefix="0" xfId="0">
      <alignment horizontal="center"/>
    </xf>
    <xf numFmtId="9" fontId="2" fillId="0" borderId="18" applyAlignment="1" pivotButton="0" quotePrefix="0" xfId="0">
      <alignment horizontal="center"/>
    </xf>
    <xf numFmtId="9" fontId="2" fillId="0" borderId="18" applyAlignment="1" pivotButton="0" quotePrefix="0" xfId="0">
      <alignment horizontal="center" wrapText="1"/>
    </xf>
    <xf numFmtId="9" fontId="2" fillId="0" borderId="0" applyAlignment="1" pivotButton="0" quotePrefix="0" xfId="0">
      <alignment horizontal="center"/>
    </xf>
    <xf numFmtId="9" fontId="2" fillId="0" borderId="0" applyAlignment="1" pivotButton="0" quotePrefix="0" xfId="0">
      <alignment horizontal="center" wrapText="1"/>
    </xf>
    <xf numFmtId="9" fontId="0" fillId="0" borderId="0" applyAlignment="1" pivotButton="0" quotePrefix="0" xfId="0">
      <alignment horizontal="center" vertical="center"/>
    </xf>
    <xf numFmtId="9" fontId="2" fillId="0" borderId="0" applyAlignment="1" pivotButton="0" quotePrefix="0" xfId="0">
      <alignment horizontal="center" vertical="center"/>
    </xf>
    <xf numFmtId="9" fontId="2" fillId="0" borderId="0" applyAlignment="1" pivotButton="0" quotePrefix="0" xfId="0">
      <alignment horizontal="center" vertical="center" wrapText="1"/>
    </xf>
    <xf numFmtId="0" fontId="0" fillId="0" borderId="0" applyAlignment="1" pivotButton="0" quotePrefix="0" xfId="0">
      <alignment vertical="center"/>
    </xf>
    <xf numFmtId="0" fontId="0" fillId="0" borderId="19" pivotButton="0" quotePrefix="0" xfId="0"/>
    <xf numFmtId="0" fontId="0" fillId="0" borderId="20" pivotButton="0" quotePrefix="0" xfId="0"/>
    <xf numFmtId="0" fontId="0" fillId="0" borderId="3" pivotButton="0" quotePrefix="0" xfId="0"/>
    <xf numFmtId="0" fontId="0" fillId="0" borderId="21" pivotButton="0" quotePrefix="0" xfId="0"/>
    <xf numFmtId="0" fontId="0" fillId="0" borderId="22" pivotButton="0" quotePrefix="0" xfId="0"/>
    <xf numFmtId="0" fontId="0" fillId="0" borderId="23" pivotButton="0" quotePrefix="0" xfId="0"/>
    <xf numFmtId="9" fontId="8" fillId="0" borderId="0" applyAlignment="1" pivotButton="0" quotePrefix="0" xfId="0">
      <alignment horizontal="center" wrapText="1"/>
    </xf>
    <xf numFmtId="9" fontId="13" fillId="0" borderId="0" applyAlignment="1" pivotButton="0" quotePrefix="0" xfId="0">
      <alignment horizontal="center"/>
    </xf>
    <xf numFmtId="0" fontId="2" fillId="3" borderId="0" applyAlignment="1" pivotButton="0" quotePrefix="0" xfId="0">
      <alignment wrapText="1"/>
    </xf>
    <xf numFmtId="9" fontId="8" fillId="0" borderId="0" applyAlignment="1" pivotButton="0" quotePrefix="0" xfId="0">
      <alignment horizontal="center"/>
    </xf>
    <xf numFmtId="9" fontId="7" fillId="0" borderId="0" applyAlignment="1" pivotButton="0" quotePrefix="0" xfId="0">
      <alignment horizontal="center"/>
    </xf>
    <xf numFmtId="0" fontId="15" fillId="0" borderId="0" applyAlignment="1" pivotButton="0" quotePrefix="0" xfId="0">
      <alignment horizontal="center"/>
    </xf>
    <xf numFmtId="0" fontId="16" fillId="0" borderId="0" applyAlignment="1" pivotButton="0" quotePrefix="0" xfId="0">
      <alignment horizontal="center"/>
    </xf>
    <xf numFmtId="0" fontId="16" fillId="0" borderId="0" pivotButton="0" quotePrefix="0" xfId="0"/>
    <xf numFmtId="0" fontId="0" fillId="8" borderId="0" pivotButton="0" quotePrefix="0" xfId="0"/>
    <xf numFmtId="0" fontId="7" fillId="10" borderId="0" applyAlignment="1" pivotButton="0" quotePrefix="0" xfId="1">
      <alignment horizontal="center" vertical="top" wrapText="1"/>
    </xf>
    <xf numFmtId="0" fontId="2" fillId="0" borderId="0" applyAlignment="1" pivotButton="0" quotePrefix="0" xfId="0">
      <alignment wrapText="1"/>
    </xf>
    <xf numFmtId="0" fontId="11" fillId="9" borderId="8" applyAlignment="1" pivotButton="0" quotePrefix="0" xfId="0">
      <alignment horizontal="center" vertical="center" wrapText="1"/>
    </xf>
    <xf numFmtId="0" fontId="11" fillId="9" borderId="9" applyAlignment="1" pivotButton="0" quotePrefix="0" xfId="0">
      <alignment horizontal="center" vertical="center" wrapText="1"/>
    </xf>
    <xf numFmtId="0" fontId="11" fillId="9" borderId="25" applyAlignment="1" pivotButton="0" quotePrefix="0" xfId="0">
      <alignment horizontal="center" vertical="center" wrapText="1"/>
    </xf>
    <xf numFmtId="0" fontId="0" fillId="0" borderId="4" applyAlignment="1" pivotButton="0" quotePrefix="0" xfId="0">
      <alignment horizontal="center"/>
    </xf>
    <xf numFmtId="0" fontId="0" fillId="0" borderId="26" pivotButton="0" quotePrefix="0" xfId="0"/>
    <xf numFmtId="0" fontId="0" fillId="0" borderId="27" pivotButton="0" quotePrefix="0" xfId="0"/>
    <xf numFmtId="0" fontId="0" fillId="0" borderId="2" applyAlignment="1" pivotButton="0" quotePrefix="0" xfId="0">
      <alignment horizontal="center" vertical="center"/>
    </xf>
    <xf numFmtId="0" fontId="0" fillId="0" borderId="10" applyAlignment="1" pivotButton="0" quotePrefix="0" xfId="0">
      <alignment horizontal="center" vertical="center"/>
    </xf>
    <xf numFmtId="0" fontId="0" fillId="0" borderId="2" applyAlignment="1" pivotButton="0" quotePrefix="0" xfId="0">
      <alignment horizontal="center"/>
    </xf>
    <xf numFmtId="0" fontId="7" fillId="11" borderId="1" applyAlignment="1" pivotButton="0" quotePrefix="0" xfId="1">
      <alignment horizontal="center" vertical="top" wrapText="1"/>
    </xf>
    <xf numFmtId="0" fontId="7" fillId="11" borderId="1" applyAlignment="1" pivotButton="0" quotePrefix="0" xfId="1">
      <alignment horizontal="center" vertical="center" wrapText="1"/>
    </xf>
    <xf numFmtId="0" fontId="0" fillId="0" borderId="0" applyAlignment="1" pivotButton="0" quotePrefix="0" xfId="0">
      <alignment horizontal="left" vertical="top" wrapText="1"/>
    </xf>
    <xf numFmtId="0" fontId="0" fillId="0" borderId="6" applyAlignment="1" pivotButton="0" quotePrefix="0" xfId="0">
      <alignment horizontal="center"/>
    </xf>
    <xf numFmtId="17" fontId="0" fillId="0" borderId="6" applyAlignment="1" pivotButton="0" quotePrefix="0" xfId="0">
      <alignment horizontal="center"/>
    </xf>
    <xf numFmtId="0" fontId="0" fillId="0" borderId="7" applyAlignment="1" pivotButton="0" quotePrefix="0" xfId="0">
      <alignment horizontal="center"/>
    </xf>
    <xf numFmtId="0" fontId="0" fillId="6" borderId="6" pivotButton="0" quotePrefix="0" xfId="0"/>
    <xf numFmtId="0" fontId="0" fillId="6" borderId="16" pivotButton="0" quotePrefix="0" xfId="0"/>
    <xf numFmtId="0" fontId="0" fillId="0" borderId="10" applyAlignment="1" pivotButton="0" quotePrefix="0" xfId="0">
      <alignment horizontal="center"/>
    </xf>
    <xf numFmtId="0" fontId="0" fillId="0" borderId="3" applyAlignment="1" pivotButton="0" quotePrefix="0" xfId="0">
      <alignment horizontal="center"/>
    </xf>
    <xf numFmtId="15" fontId="0" fillId="0" borderId="10" applyAlignment="1" pivotButton="0" quotePrefix="0" xfId="0">
      <alignment horizontal="center"/>
    </xf>
    <xf numFmtId="9" fontId="0" fillId="0" borderId="19" applyAlignment="1" pivotButton="0" quotePrefix="0" xfId="0">
      <alignment horizontal="center"/>
    </xf>
    <xf numFmtId="0" fontId="0" fillId="0" borderId="16" applyAlignment="1" pivotButton="0" quotePrefix="0" xfId="0">
      <alignment horizontal="center"/>
    </xf>
    <xf numFmtId="15" fontId="0" fillId="0" borderId="16" applyAlignment="1" pivotButton="0" quotePrefix="0" xfId="0">
      <alignment horizontal="center"/>
    </xf>
    <xf numFmtId="0" fontId="0" fillId="0" borderId="0" applyAlignment="1" pivotButton="0" quotePrefix="0" xfId="0">
      <alignment horizontal="left" vertical="top"/>
    </xf>
    <xf numFmtId="0" fontId="0" fillId="0" borderId="0" applyAlignment="1" pivotButton="0" quotePrefix="0" xfId="1">
      <alignment horizontal="left" vertical="top"/>
    </xf>
    <xf numFmtId="0" fontId="2" fillId="0" borderId="0" applyAlignment="1" pivotButton="0" quotePrefix="0" xfId="1">
      <alignment horizontal="left" vertical="top" wrapText="1"/>
    </xf>
    <xf numFmtId="17" fontId="0" fillId="0" borderId="0" applyAlignment="1" pivotButton="0" quotePrefix="0" xfId="1">
      <alignment horizontal="left" vertical="top" wrapText="1"/>
    </xf>
    <xf numFmtId="165" fontId="0" fillId="0" borderId="0" applyAlignment="1" pivotButton="0" quotePrefix="0" xfId="0">
      <alignment horizontal="left" vertical="top" wrapText="1"/>
    </xf>
    <xf numFmtId="0" fontId="3" fillId="0" borderId="0" applyAlignment="1" pivotButton="0" quotePrefix="0" xfId="1">
      <alignment horizontal="left" vertical="top"/>
    </xf>
    <xf numFmtId="0" fontId="7" fillId="4" borderId="1" applyAlignment="1" pivotButton="0" quotePrefix="0" xfId="1">
      <alignment horizontal="center" vertical="center" wrapText="1"/>
    </xf>
    <xf numFmtId="15" fontId="0" fillId="0" borderId="2" applyAlignment="1" pivotButton="0" quotePrefix="0" xfId="0">
      <alignment horizontal="center"/>
    </xf>
    <xf numFmtId="9" fontId="0" fillId="0" borderId="2" applyAlignment="1" pivotButton="0" quotePrefix="0" xfId="0">
      <alignment horizontal="center"/>
    </xf>
    <xf numFmtId="0" fontId="0" fillId="0" borderId="9" pivotButton="0" quotePrefix="0" xfId="0"/>
    <xf numFmtId="0" fontId="0" fillId="0" borderId="30" pivotButton="0" quotePrefix="0" xfId="0"/>
    <xf numFmtId="0" fontId="0" fillId="0" borderId="16" applyAlignment="1" pivotButton="0" quotePrefix="0" xfId="0">
      <alignment horizontal="center" vertical="center"/>
    </xf>
    <xf numFmtId="9" fontId="0" fillId="0" borderId="10" applyAlignment="1" pivotButton="0" quotePrefix="0" xfId="0">
      <alignment horizontal="center"/>
    </xf>
    <xf numFmtId="0" fontId="0" fillId="0" borderId="10" applyAlignment="1" pivotButton="0" quotePrefix="0" xfId="0">
      <alignment vertical="center"/>
    </xf>
    <xf numFmtId="15" fontId="0" fillId="0" borderId="10" applyAlignment="1" pivotButton="0" quotePrefix="0" xfId="0">
      <alignment horizontal="center" vertical="center"/>
    </xf>
    <xf numFmtId="9" fontId="0" fillId="0" borderId="10" applyAlignment="1" pivotButton="0" quotePrefix="0" xfId="0">
      <alignment horizontal="center" vertical="center"/>
    </xf>
    <xf numFmtId="0" fontId="0" fillId="0" borderId="11" applyAlignment="1" pivotButton="0" quotePrefix="0" xfId="0">
      <alignment vertical="center" wrapText="1"/>
    </xf>
    <xf numFmtId="15" fontId="0" fillId="0" borderId="10" pivotButton="0" quotePrefix="0" xfId="0"/>
    <xf numFmtId="9" fontId="11" fillId="9" borderId="24" applyAlignment="1" pivotButton="0" quotePrefix="0" xfId="0">
      <alignment horizontal="center" vertical="center" wrapText="1"/>
    </xf>
    <xf numFmtId="9" fontId="0" fillId="0" borderId="3" applyAlignment="1" pivotButton="0" quotePrefix="0" xfId="0">
      <alignment horizontal="center"/>
    </xf>
    <xf numFmtId="9" fontId="0" fillId="0" borderId="16" applyAlignment="1" pivotButton="0" quotePrefix="0" xfId="0">
      <alignment horizontal="center"/>
    </xf>
    <xf numFmtId="15" fontId="0" fillId="0" borderId="2" pivotButton="0" quotePrefix="0" xfId="0"/>
    <xf numFmtId="0" fontId="2" fillId="0" borderId="11" pivotButton="0" quotePrefix="0" xfId="0"/>
    <xf numFmtId="0" fontId="17" fillId="0" borderId="0" pivotButton="0" quotePrefix="0" xfId="0"/>
    <xf numFmtId="0" fontId="17" fillId="0" borderId="0" applyAlignment="1" pivotButton="0" quotePrefix="0" xfId="0">
      <alignment horizontal="left" vertical="top" wrapText="1"/>
    </xf>
    <xf numFmtId="0" fontId="17" fillId="7" borderId="0" applyAlignment="1" pivotButton="0" quotePrefix="0" xfId="1">
      <alignment horizontal="left" vertical="top" wrapText="1"/>
    </xf>
    <xf numFmtId="0" fontId="0" fillId="12" borderId="0" pivotButton="0" quotePrefix="0" xfId="0"/>
    <xf numFmtId="0" fontId="0" fillId="12" borderId="0" applyAlignment="1" pivotButton="0" quotePrefix="0" xfId="1">
      <alignment horizontal="left" vertical="top" wrapText="1"/>
    </xf>
    <xf numFmtId="0" fontId="17" fillId="0" borderId="0" applyAlignment="1" pivotButton="0" quotePrefix="0" xfId="0">
      <alignment horizontal="left" vertical="top"/>
    </xf>
    <xf numFmtId="0" fontId="17" fillId="0" borderId="0" applyAlignment="1" pivotButton="0" quotePrefix="0" xfId="1">
      <alignment horizontal="left" vertical="top" wrapText="1"/>
    </xf>
    <xf numFmtId="0" fontId="17" fillId="8" borderId="0" pivotButton="0" quotePrefix="0" xfId="0"/>
    <xf numFmtId="165" fontId="0" fillId="0" borderId="0" applyAlignment="1" pivotButton="0" quotePrefix="0" xfId="0">
      <alignment horizontal="center"/>
    </xf>
    <xf numFmtId="0" fontId="2" fillId="0" borderId="0" applyAlignment="1" pivotButton="0" quotePrefix="0" xfId="0">
      <alignment horizontal="left" vertical="top"/>
    </xf>
    <xf numFmtId="0" fontId="2" fillId="0" borderId="10" applyAlignment="1" pivotButton="0" quotePrefix="0" xfId="0">
      <alignment horizontal="center" vertical="center"/>
    </xf>
    <xf numFmtId="0" fontId="2" fillId="0" borderId="33" pivotButton="0" quotePrefix="0" xfId="0"/>
    <xf numFmtId="0" fontId="0" fillId="0" borderId="10" applyAlignment="1" pivotButton="0" quotePrefix="0" xfId="0">
      <alignment horizontal="center" vertical="center" wrapText="1"/>
    </xf>
    <xf numFmtId="0" fontId="2" fillId="0" borderId="2" pivotButton="0" quotePrefix="0" xfId="0"/>
    <xf numFmtId="0" fontId="2" fillId="0" borderId="2" applyAlignment="1" pivotButton="0" quotePrefix="0" xfId="0">
      <alignment vertical="center"/>
    </xf>
    <xf numFmtId="0" fontId="0" fillId="0" borderId="2" applyAlignment="1" pivotButton="0" quotePrefix="0" xfId="0">
      <alignment vertical="center"/>
    </xf>
    <xf numFmtId="15" fontId="0" fillId="0" borderId="2" applyAlignment="1" pivotButton="0" quotePrefix="0" xfId="0">
      <alignment horizontal="center" vertical="center"/>
    </xf>
    <xf numFmtId="9" fontId="0" fillId="0" borderId="2" applyAlignment="1" pivotButton="0" quotePrefix="0" xfId="0">
      <alignment horizontal="center" vertical="center"/>
    </xf>
    <xf numFmtId="0" fontId="2" fillId="0" borderId="13" pivotButton="0" quotePrefix="0" xfId="0"/>
    <xf numFmtId="0" fontId="0" fillId="0" borderId="30" applyAlignment="1" pivotButton="0" quotePrefix="0" xfId="0">
      <alignment wrapText="1"/>
    </xf>
    <xf numFmtId="0" fontId="0" fillId="0" borderId="33" applyAlignment="1" pivotButton="0" quotePrefix="0" xfId="0">
      <alignment wrapText="1"/>
    </xf>
    <xf numFmtId="0" fontId="0" fillId="0" borderId="2" applyAlignment="1" pivotButton="0" quotePrefix="0" xfId="0">
      <alignment wrapText="1"/>
    </xf>
    <xf numFmtId="0" fontId="0" fillId="0" borderId="13" applyAlignment="1" pivotButton="0" quotePrefix="0" xfId="0">
      <alignment wrapText="1"/>
    </xf>
    <xf numFmtId="0" fontId="2" fillId="0" borderId="13" applyAlignment="1" pivotButton="0" quotePrefix="0" xfId="0">
      <alignment wrapText="1"/>
    </xf>
    <xf numFmtId="0" fontId="0" fillId="0" borderId="16" applyAlignment="1" pivotButton="0" quotePrefix="0" xfId="0">
      <alignment wrapText="1"/>
    </xf>
    <xf numFmtId="0" fontId="0" fillId="0" borderId="17" applyAlignment="1" pivotButton="0" quotePrefix="0" xfId="0">
      <alignment wrapText="1"/>
    </xf>
    <xf numFmtId="0" fontId="0" fillId="0" borderId="29" applyAlignment="1" pivotButton="0" quotePrefix="0" xfId="0">
      <alignment vertical="center" wrapText="1"/>
    </xf>
    <xf numFmtId="0" fontId="0" fillId="0" borderId="31" applyAlignment="1" pivotButton="0" quotePrefix="0" xfId="0">
      <alignment vertical="center" wrapText="1"/>
    </xf>
    <xf numFmtId="0" fontId="0" fillId="0" borderId="10" applyAlignment="1" pivotButton="0" quotePrefix="0" xfId="0">
      <alignment wrapText="1"/>
    </xf>
    <xf numFmtId="9" fontId="0" fillId="0" borderId="10" applyAlignment="1" pivotButton="0" quotePrefix="0" xfId="0">
      <alignment wrapText="1"/>
    </xf>
    <xf numFmtId="9" fontId="0" fillId="0" borderId="2" applyAlignment="1" pivotButton="0" quotePrefix="0" xfId="0">
      <alignment wrapText="1"/>
    </xf>
    <xf numFmtId="9" fontId="0" fillId="0" borderId="16" applyAlignment="1" pivotButton="0" quotePrefix="0" xfId="0">
      <alignment wrapText="1"/>
    </xf>
    <xf numFmtId="0" fontId="2" fillId="0" borderId="36" applyAlignment="1" pivotButton="0" quotePrefix="0" xfId="0">
      <alignment wrapText="1"/>
    </xf>
    <xf numFmtId="0" fontId="0" fillId="0" borderId="2" applyAlignment="1" pivotButton="0" quotePrefix="0" xfId="0">
      <alignment vertical="center" wrapText="1"/>
    </xf>
    <xf numFmtId="0" fontId="0" fillId="0" borderId="16" applyAlignment="1" pivotButton="0" quotePrefix="0" xfId="0">
      <alignment vertical="center" wrapText="1"/>
    </xf>
    <xf numFmtId="9" fontId="0" fillId="0" borderId="30" applyAlignment="1" pivotButton="0" quotePrefix="0" xfId="0">
      <alignment wrapText="1"/>
    </xf>
    <xf numFmtId="9" fontId="0" fillId="0" borderId="10" applyAlignment="1" pivotButton="0" quotePrefix="0" xfId="0">
      <alignment horizontal="center" vertical="center" wrapText="1"/>
    </xf>
    <xf numFmtId="0" fontId="0" fillId="0" borderId="13" applyAlignment="1" pivotButton="0" quotePrefix="0" xfId="0">
      <alignment vertical="center" wrapText="1"/>
    </xf>
    <xf numFmtId="0" fontId="0" fillId="0" borderId="32" applyAlignment="1" pivotButton="0" quotePrefix="0" xfId="0">
      <alignment vertical="center" wrapText="1"/>
    </xf>
    <xf numFmtId="0" fontId="0" fillId="0" borderId="34" applyAlignment="1" pivotButton="0" quotePrefix="0" xfId="0">
      <alignment wrapText="1"/>
    </xf>
    <xf numFmtId="0" fontId="0" fillId="0" borderId="15" applyAlignment="1" pivotButton="0" quotePrefix="0" xfId="0">
      <alignment wrapText="1"/>
    </xf>
    <xf numFmtId="9" fontId="0" fillId="0" borderId="15" applyAlignment="1" pivotButton="0" quotePrefix="0" xfId="0">
      <alignment wrapText="1"/>
    </xf>
    <xf numFmtId="0" fontId="0" fillId="0" borderId="38" applyAlignment="1" pivotButton="0" quotePrefix="0" xfId="0">
      <alignment wrapText="1"/>
    </xf>
    <xf numFmtId="17" fontId="0" fillId="0" borderId="0" pivotButton="0" quotePrefix="0" xfId="0"/>
    <xf numFmtId="0" fontId="2" fillId="0" borderId="2" applyAlignment="1" pivotButton="0" quotePrefix="0" xfId="0">
      <alignment horizontal="center" vertical="center"/>
    </xf>
    <xf numFmtId="15" fontId="8" fillId="0" borderId="2" applyAlignment="1" pivotButton="0" quotePrefix="0" xfId="0">
      <alignment horizontal="center"/>
    </xf>
    <xf numFmtId="15" fontId="2" fillId="0" borderId="2" applyAlignment="1" pivotButton="0" quotePrefix="0" xfId="0">
      <alignment horizontal="center" vertical="center"/>
    </xf>
    <xf numFmtId="9" fontId="2" fillId="0" borderId="2" applyAlignment="1" pivotButton="0" quotePrefix="0" xfId="0">
      <alignment horizontal="center" vertical="center"/>
    </xf>
    <xf numFmtId="0" fontId="2" fillId="0" borderId="11" applyAlignment="1" pivotButton="0" quotePrefix="0" xfId="0">
      <alignment wrapText="1"/>
    </xf>
    <xf numFmtId="0" fontId="0" fillId="13" borderId="0" pivotButton="0" quotePrefix="0" xfId="0"/>
    <xf numFmtId="0" fontId="0" fillId="13" borderId="39" pivotButton="0" quotePrefix="0" xfId="0"/>
    <xf numFmtId="0" fontId="0" fillId="13" borderId="19" pivotButton="0" quotePrefix="0" xfId="0"/>
    <xf numFmtId="0" fontId="0" fillId="13" borderId="2" pivotButton="0" quotePrefix="0" xfId="0"/>
    <xf numFmtId="0" fontId="0" fillId="13" borderId="16" applyAlignment="1" pivotButton="0" quotePrefix="0" xfId="0">
      <alignment wrapText="1"/>
    </xf>
    <xf numFmtId="17" fontId="0" fillId="0" borderId="0" applyAlignment="1" pivotButton="0" quotePrefix="0" xfId="0">
      <alignment horizontal="center"/>
    </xf>
    <xf numFmtId="0" fontId="0" fillId="0" borderId="37" applyAlignment="1" pivotButton="0" quotePrefix="0" xfId="0">
      <alignment horizontal="center" vertical="center"/>
    </xf>
    <xf numFmtId="0" fontId="0" fillId="0" borderId="0" applyAlignment="1" pivotButton="0" quotePrefix="0" xfId="1">
      <alignment horizontal="center" vertical="center"/>
    </xf>
    <xf numFmtId="15" fontId="0" fillId="0" borderId="0" applyAlignment="1" pivotButton="0" quotePrefix="0" xfId="0">
      <alignment horizontal="center"/>
    </xf>
    <xf numFmtId="0" fontId="0" fillId="0" borderId="15" applyAlignment="1" pivotButton="0" quotePrefix="0" xfId="0">
      <alignment horizontal="center"/>
    </xf>
    <xf numFmtId="0" fontId="0" fillId="0" borderId="15" pivotButton="0" quotePrefix="0" xfId="0"/>
    <xf numFmtId="15" fontId="0" fillId="0" borderId="15" applyAlignment="1" pivotButton="0" quotePrefix="0" xfId="0">
      <alignment horizontal="center"/>
    </xf>
    <xf numFmtId="9" fontId="0" fillId="0" borderId="15" applyAlignment="1" pivotButton="0" quotePrefix="0" xfId="0">
      <alignment horizontal="center"/>
    </xf>
    <xf numFmtId="0" fontId="0" fillId="0" borderId="38" pivotButton="0" quotePrefix="0" xfId="0"/>
    <xf numFmtId="0" fontId="2" fillId="0" borderId="13" applyAlignment="1" pivotButton="0" quotePrefix="0" xfId="0">
      <alignment vertical="center" wrapText="1"/>
    </xf>
    <xf numFmtId="0" fontId="0" fillId="0" borderId="16" applyAlignment="1" pivotButton="0" quotePrefix="0" xfId="0">
      <alignment vertical="center"/>
    </xf>
    <xf numFmtId="15" fontId="0" fillId="0" borderId="16" applyAlignment="1" pivotButton="0" quotePrefix="0" xfId="0">
      <alignment horizontal="center" vertical="center"/>
    </xf>
    <xf numFmtId="9" fontId="0" fillId="0" borderId="16" applyAlignment="1" pivotButton="0" quotePrefix="0" xfId="0">
      <alignment horizontal="center" vertical="center"/>
    </xf>
    <xf numFmtId="0" fontId="0" fillId="0" borderId="13" applyAlignment="1" pivotButton="0" quotePrefix="0" xfId="0">
      <alignment vertical="center"/>
    </xf>
    <xf numFmtId="0" fontId="8" fillId="0" borderId="10" pivotButton="0" quotePrefix="0" xfId="0"/>
    <xf numFmtId="0" fontId="8" fillId="0" borderId="10" applyAlignment="1" pivotButton="0" quotePrefix="0" xfId="0">
      <alignment horizontal="center"/>
    </xf>
    <xf numFmtId="15" fontId="8" fillId="0" borderId="10" applyAlignment="1" pivotButton="0" quotePrefix="0" xfId="0">
      <alignment horizontal="center"/>
    </xf>
    <xf numFmtId="9" fontId="8" fillId="0" borderId="10" applyAlignment="1" pivotButton="0" quotePrefix="0" xfId="0">
      <alignment horizontal="center"/>
    </xf>
    <xf numFmtId="0" fontId="8" fillId="0" borderId="2" pivotButton="0" quotePrefix="0" xfId="0"/>
    <xf numFmtId="0" fontId="8" fillId="0" borderId="2" applyAlignment="1" pivotButton="0" quotePrefix="0" xfId="0">
      <alignment horizontal="center"/>
    </xf>
    <xf numFmtId="9" fontId="8" fillId="0" borderId="2" applyAlignment="1" pivotButton="0" quotePrefix="0" xfId="0">
      <alignment horizontal="center"/>
    </xf>
    <xf numFmtId="0" fontId="0" fillId="0" borderId="0" applyAlignment="1" pivotButton="0" quotePrefix="0" xfId="0">
      <alignment horizontal="left" vertical="center"/>
    </xf>
    <xf numFmtId="0" fontId="0" fillId="0" borderId="0" applyAlignment="1" pivotButton="0" quotePrefix="0" xfId="0">
      <alignment vertical="center" wrapText="1"/>
    </xf>
    <xf numFmtId="0" fontId="10" fillId="0" borderId="11" applyAlignment="1" pivotButton="0" quotePrefix="0" xfId="0">
      <alignment vertical="center"/>
    </xf>
    <xf numFmtId="15" fontId="8" fillId="0" borderId="3" applyAlignment="1" pivotButton="0" quotePrefix="0" xfId="0">
      <alignment horizontal="center"/>
    </xf>
    <xf numFmtId="9" fontId="8" fillId="0" borderId="3" applyAlignment="1" pivotButton="0" quotePrefix="0" xfId="0">
      <alignment horizontal="center"/>
    </xf>
    <xf numFmtId="0" fontId="8" fillId="0" borderId="2" applyAlignment="1" pivotButton="0" quotePrefix="0" xfId="0">
      <alignment vertical="center"/>
    </xf>
    <xf numFmtId="0" fontId="2" fillId="0" borderId="10" applyAlignment="1" pivotButton="0" quotePrefix="0" xfId="0">
      <alignment vertical="center"/>
    </xf>
    <xf numFmtId="15" fontId="2" fillId="0" borderId="10" applyAlignment="1" pivotButton="0" quotePrefix="0" xfId="0">
      <alignment horizontal="center" vertical="center"/>
    </xf>
    <xf numFmtId="0" fontId="2" fillId="0" borderId="11" applyAlignment="1" pivotButton="0" quotePrefix="0" xfId="0">
      <alignment vertical="center" wrapText="1"/>
    </xf>
    <xf numFmtId="0" fontId="8" fillId="0" borderId="30" applyAlignment="1" pivotButton="0" quotePrefix="0" xfId="0">
      <alignment horizontal="center"/>
    </xf>
    <xf numFmtId="15" fontId="8" fillId="8" borderId="30" applyAlignment="1" pivotButton="0" quotePrefix="0" xfId="0">
      <alignment horizontal="center"/>
    </xf>
    <xf numFmtId="9" fontId="8" fillId="8" borderId="30" applyAlignment="1" pivotButton="0" quotePrefix="0" xfId="0">
      <alignment horizontal="center"/>
    </xf>
    <xf numFmtId="15" fontId="0" fillId="0" borderId="9" applyAlignment="1" pivotButton="0" quotePrefix="0" xfId="0">
      <alignment horizontal="center" vertical="center"/>
    </xf>
    <xf numFmtId="9" fontId="0" fillId="0" borderId="9" applyAlignment="1" pivotButton="0" quotePrefix="0" xfId="0">
      <alignment horizontal="center" vertical="center"/>
    </xf>
    <xf numFmtId="9" fontId="2" fillId="0" borderId="10" applyAlignment="1" pivotButton="0" quotePrefix="0" xfId="0">
      <alignment horizontal="center" vertical="center"/>
    </xf>
    <xf numFmtId="9" fontId="0" fillId="0" borderId="40" applyAlignment="1" pivotButton="0" quotePrefix="0" xfId="0">
      <alignment horizontal="center"/>
    </xf>
    <xf numFmtId="0" fontId="0" fillId="0" borderId="39" applyAlignment="1" pivotButton="0" quotePrefix="0" xfId="0">
      <alignment horizontal="center"/>
    </xf>
    <xf numFmtId="17" fontId="0" fillId="0" borderId="39" applyAlignment="1" pivotButton="0" quotePrefix="0" xfId="0">
      <alignment horizontal="center"/>
    </xf>
    <xf numFmtId="9" fontId="0" fillId="0" borderId="39" applyAlignment="1" pivotButton="0" quotePrefix="0" xfId="0">
      <alignment horizontal="center"/>
    </xf>
    <xf numFmtId="0" fontId="2" fillId="0" borderId="10" applyAlignment="1" pivotButton="0" quotePrefix="0" xfId="0">
      <alignment horizontal="center"/>
    </xf>
    <xf numFmtId="17" fontId="0" fillId="0" borderId="10" applyAlignment="1" pivotButton="0" quotePrefix="0" xfId="0">
      <alignment horizontal="center"/>
    </xf>
    <xf numFmtId="0" fontId="2" fillId="0" borderId="17" applyAlignment="1" pivotButton="0" quotePrefix="0" xfId="0">
      <alignment wrapText="1"/>
    </xf>
    <xf numFmtId="0" fontId="19" fillId="0" borderId="2" applyAlignment="1" pivotButton="0" quotePrefix="0" xfId="0">
      <alignment vertical="center" wrapText="1"/>
    </xf>
    <xf numFmtId="0" fontId="20" fillId="0" borderId="2" applyAlignment="1" pivotButton="0" quotePrefix="0" xfId="0">
      <alignment vertical="center" wrapText="1"/>
    </xf>
    <xf numFmtId="9" fontId="19" fillId="0" borderId="2" applyAlignment="1" pivotButton="0" quotePrefix="0" xfId="0">
      <alignment horizontal="center" vertical="center" wrapText="1"/>
    </xf>
    <xf numFmtId="0" fontId="0" fillId="0" borderId="45" pivotButton="0" quotePrefix="0" xfId="0"/>
    <xf numFmtId="15" fontId="2" fillId="8" borderId="2" applyAlignment="1" pivotButton="0" quotePrefix="0" xfId="0">
      <alignment horizontal="center" vertical="center"/>
    </xf>
    <xf numFmtId="9" fontId="2" fillId="8" borderId="2" applyAlignment="1" pivotButton="0" quotePrefix="0" xfId="0">
      <alignment horizontal="center" vertical="center"/>
    </xf>
    <xf numFmtId="0" fontId="10" fillId="0" borderId="13" applyAlignment="1" pivotButton="0" quotePrefix="0" xfId="0">
      <alignment vertical="center"/>
    </xf>
    <xf numFmtId="0" fontId="0" fillId="0" borderId="46" pivotButton="0" quotePrefix="0" xfId="0"/>
    <xf numFmtId="15" fontId="0" fillId="0" borderId="4" applyAlignment="1" pivotButton="0" quotePrefix="0" xfId="0">
      <alignment horizontal="center"/>
    </xf>
    <xf numFmtId="9" fontId="0" fillId="0" borderId="4" applyAlignment="1" pivotButton="0" quotePrefix="0" xfId="0">
      <alignment horizontal="center"/>
    </xf>
    <xf numFmtId="0" fontId="0" fillId="0" borderId="11" applyAlignment="1" pivotButton="0" quotePrefix="0" xfId="0">
      <alignment horizontal="center"/>
    </xf>
    <xf numFmtId="15" fontId="0" fillId="0" borderId="3" applyAlignment="1" pivotButton="0" quotePrefix="0" xfId="0">
      <alignment horizontal="center"/>
    </xf>
    <xf numFmtId="9" fontId="8" fillId="8" borderId="34" applyAlignment="1" pivotButton="0" quotePrefix="0" xfId="0">
      <alignment horizontal="center"/>
    </xf>
    <xf numFmtId="9" fontId="0" fillId="0" borderId="20" applyAlignment="1" pivotButton="0" quotePrefix="0" xfId="0">
      <alignment horizontal="center"/>
    </xf>
    <xf numFmtId="9" fontId="8" fillId="0" borderId="47" applyAlignment="1" pivotButton="0" quotePrefix="0" xfId="0">
      <alignment horizontal="center"/>
    </xf>
    <xf numFmtId="9" fontId="0" fillId="0" borderId="48" applyAlignment="1" pivotButton="0" quotePrefix="0" xfId="0">
      <alignment horizontal="center"/>
    </xf>
    <xf numFmtId="9" fontId="0" fillId="0" borderId="43" applyAlignment="1" pivotButton="0" quotePrefix="0" xfId="0">
      <alignment horizontal="center"/>
    </xf>
    <xf numFmtId="9" fontId="2" fillId="0" borderId="20" applyAlignment="1" pivotButton="0" quotePrefix="0" xfId="0">
      <alignment horizontal="center" vertical="center"/>
    </xf>
    <xf numFmtId="9" fontId="0" fillId="0" borderId="20" applyAlignment="1" pivotButton="0" quotePrefix="0" xfId="0">
      <alignment horizontal="center" vertical="center"/>
    </xf>
    <xf numFmtId="9" fontId="0" fillId="0" borderId="47" applyAlignment="1" pivotButton="0" quotePrefix="0" xfId="0">
      <alignment horizontal="center"/>
    </xf>
    <xf numFmtId="9" fontId="0" fillId="0" borderId="24" applyAlignment="1" pivotButton="0" quotePrefix="0" xfId="0">
      <alignment horizontal="center"/>
    </xf>
    <xf numFmtId="9" fontId="8" fillId="0" borderId="34" applyAlignment="1" pivotButton="0" quotePrefix="0" xfId="0">
      <alignment horizontal="center"/>
    </xf>
    <xf numFmtId="0" fontId="0" fillId="0" borderId="12" applyAlignment="1" pivotButton="0" quotePrefix="0" xfId="0">
      <alignment vertical="center"/>
    </xf>
    <xf numFmtId="0" fontId="0" fillId="0" borderId="4" applyAlignment="1" pivotButton="0" quotePrefix="0" xfId="0">
      <alignment vertical="center"/>
    </xf>
    <xf numFmtId="0" fontId="2" fillId="0" borderId="27" pivotButton="0" quotePrefix="0" xfId="0"/>
    <xf numFmtId="0" fontId="0" fillId="0" borderId="9" applyAlignment="1" pivotButton="0" quotePrefix="0" xfId="0">
      <alignment horizontal="center" vertical="center"/>
    </xf>
    <xf numFmtId="0" fontId="8" fillId="0" borderId="2" applyAlignment="1" pivotButton="0" quotePrefix="0" xfId="0">
      <alignment horizontal="center" vertical="center"/>
    </xf>
    <xf numFmtId="0" fontId="0" fillId="0" borderId="26" applyAlignment="1" pivotButton="0" quotePrefix="0" xfId="0">
      <alignment horizontal="left"/>
    </xf>
    <xf numFmtId="0" fontId="8" fillId="0" borderId="50" pivotButton="0" quotePrefix="0" xfId="0"/>
    <xf numFmtId="0" fontId="8" fillId="0" borderId="22" pivotButton="0" quotePrefix="0" xfId="0"/>
    <xf numFmtId="0" fontId="0" fillId="0" borderId="51" pivotButton="0" quotePrefix="0" xfId="0"/>
    <xf numFmtId="9" fontId="0" fillId="0" borderId="26" applyAlignment="1" pivotButton="0" quotePrefix="0" xfId="0">
      <alignment horizontal="center"/>
    </xf>
    <xf numFmtId="0" fontId="0" fillId="0" borderId="36" pivotButton="0" quotePrefix="0" xfId="0"/>
    <xf numFmtId="0" fontId="2" fillId="0" borderId="36" applyAlignment="1" pivotButton="0" quotePrefix="0" xfId="0">
      <alignment horizontal="left" wrapText="1"/>
    </xf>
    <xf numFmtId="0" fontId="2" fillId="0" borderId="36" pivotButton="0" quotePrefix="0" xfId="0"/>
    <xf numFmtId="0" fontId="0" fillId="0" borderId="53" applyAlignment="1" pivotButton="0" quotePrefix="0" xfId="0">
      <alignment wrapText="1"/>
    </xf>
    <xf numFmtId="0" fontId="0" fillId="0" borderId="15" applyAlignment="1" pivotButton="0" quotePrefix="0" xfId="0">
      <alignment horizontal="center" vertical="center"/>
    </xf>
    <xf numFmtId="0" fontId="2" fillId="0" borderId="36" applyAlignment="1" pivotButton="0" quotePrefix="0" xfId="0">
      <alignment vertical="center" wrapText="1"/>
    </xf>
    <xf numFmtId="17" fontId="2" fillId="0" borderId="10" applyAlignment="1" pivotButton="0" quotePrefix="0" xfId="0">
      <alignment horizontal="center"/>
    </xf>
    <xf numFmtId="15" fontId="2" fillId="0" borderId="10" applyAlignment="1" pivotButton="0" quotePrefix="0" xfId="0">
      <alignment horizontal="center"/>
    </xf>
    <xf numFmtId="9" fontId="2" fillId="0" borderId="10" applyAlignment="1" pivotButton="0" quotePrefix="0" xfId="0">
      <alignment horizontal="center"/>
    </xf>
    <xf numFmtId="0" fontId="8" fillId="0" borderId="52" applyAlignment="1" pivotButton="0" quotePrefix="0" xfId="0">
      <alignment horizontal="left"/>
    </xf>
    <xf numFmtId="0" fontId="0" fillId="0" borderId="15" applyAlignment="1" pivotButton="0" quotePrefix="0" xfId="0">
      <alignment vertical="center"/>
    </xf>
    <xf numFmtId="0" fontId="2" fillId="0" borderId="26" pivotButton="0" quotePrefix="0" xfId="0"/>
    <xf numFmtId="0" fontId="2" fillId="0" borderId="22" applyAlignment="1" pivotButton="0" quotePrefix="0" xfId="0">
      <alignment vertical="center"/>
    </xf>
    <xf numFmtId="0" fontId="0" fillId="0" borderId="54" pivotButton="0" quotePrefix="0" xfId="0"/>
    <xf numFmtId="15" fontId="0" fillId="0" borderId="15" applyAlignment="1" pivotButton="0" quotePrefix="0" xfId="0">
      <alignment horizontal="center" vertical="center"/>
    </xf>
    <xf numFmtId="0" fontId="0" fillId="0" borderId="35" pivotButton="0" quotePrefix="0" xfId="0"/>
    <xf numFmtId="0" fontId="0" fillId="0" borderId="55" pivotButton="0" quotePrefix="0" xfId="0"/>
    <xf numFmtId="0" fontId="0" fillId="0" borderId="43" applyAlignment="1" pivotButton="0" quotePrefix="0" xfId="0">
      <alignment vertical="center" wrapText="1"/>
    </xf>
    <xf numFmtId="9" fontId="0" fillId="0" borderId="15" applyAlignment="1" pivotButton="0" quotePrefix="0" xfId="0">
      <alignment horizontal="center" vertical="center"/>
    </xf>
    <xf numFmtId="17" fontId="0" fillId="0" borderId="16" applyAlignment="1" pivotButton="0" quotePrefix="0" xfId="0">
      <alignment horizontal="center"/>
    </xf>
    <xf numFmtId="0" fontId="0" fillId="0" borderId="17" applyAlignment="1" pivotButton="0" quotePrefix="0" xfId="0">
      <alignment horizontal="center"/>
    </xf>
    <xf numFmtId="0" fontId="0" fillId="0" borderId="39" pivotButton="0" quotePrefix="0" xfId="0"/>
    <xf numFmtId="0" fontId="0" fillId="0" borderId="22" applyAlignment="1" pivotButton="0" quotePrefix="0" xfId="0">
      <alignment vertical="center" wrapText="1"/>
    </xf>
    <xf numFmtId="0" fontId="0" fillId="0" borderId="22" applyAlignment="1" pivotButton="0" quotePrefix="0" xfId="0">
      <alignment vertical="center"/>
    </xf>
    <xf numFmtId="0" fontId="0" fillId="0" borderId="49" applyAlignment="1" pivotButton="0" quotePrefix="0" xfId="0">
      <alignment vertical="center"/>
    </xf>
    <xf numFmtId="0" fontId="17" fillId="0" borderId="25" pivotButton="0" quotePrefix="0" xfId="0"/>
    <xf numFmtId="0" fontId="18" fillId="0" borderId="2" applyAlignment="1" pivotButton="0" quotePrefix="0" xfId="0">
      <alignment vertical="center"/>
    </xf>
    <xf numFmtId="0" fontId="18" fillId="0" borderId="2" applyAlignment="1" pivotButton="0" quotePrefix="0" xfId="0">
      <alignment horizontal="center" vertical="center"/>
    </xf>
    <xf numFmtId="15" fontId="18" fillId="0" borderId="2" applyAlignment="1" pivotButton="0" quotePrefix="0" xfId="0">
      <alignment horizontal="center" vertical="center"/>
    </xf>
    <xf numFmtId="0" fontId="0" fillId="0" borderId="23" applyAlignment="1" pivotButton="0" quotePrefix="0" xfId="0">
      <alignment vertical="center" wrapText="1"/>
    </xf>
    <xf numFmtId="0" fontId="18" fillId="0" borderId="10" applyAlignment="1" pivotButton="0" quotePrefix="0" xfId="0">
      <alignment vertical="center"/>
    </xf>
    <xf numFmtId="0" fontId="18" fillId="0" borderId="10" applyAlignment="1" pivotButton="0" quotePrefix="0" xfId="0">
      <alignment horizontal="center" vertical="center"/>
    </xf>
    <xf numFmtId="15" fontId="18" fillId="0" borderId="10" applyAlignment="1" pivotButton="0" quotePrefix="0" xfId="0">
      <alignment horizontal="center"/>
    </xf>
    <xf numFmtId="9" fontId="18" fillId="0" borderId="10" applyAlignment="1" pivotButton="0" quotePrefix="0" xfId="0">
      <alignment horizontal="center"/>
    </xf>
    <xf numFmtId="0" fontId="18" fillId="0" borderId="2" pivotButton="0" quotePrefix="0" xfId="0"/>
    <xf numFmtId="15" fontId="18" fillId="0" borderId="2" applyAlignment="1" pivotButton="0" quotePrefix="0" xfId="0">
      <alignment horizontal="center"/>
    </xf>
    <xf numFmtId="9" fontId="18" fillId="0" borderId="2" applyAlignment="1" pivotButton="0" quotePrefix="0" xfId="0">
      <alignment horizontal="center"/>
    </xf>
    <xf numFmtId="9" fontId="18" fillId="0" borderId="2" applyAlignment="1" pivotButton="0" quotePrefix="0" xfId="0">
      <alignment horizontal="center" vertical="center"/>
    </xf>
    <xf numFmtId="0" fontId="18" fillId="0" borderId="2" applyAlignment="1" pivotButton="0" quotePrefix="0" xfId="0">
      <alignment horizontal="center"/>
    </xf>
    <xf numFmtId="0" fontId="18" fillId="0" borderId="15" pivotButton="0" quotePrefix="0" xfId="0"/>
    <xf numFmtId="0" fontId="18" fillId="0" borderId="15" applyAlignment="1" pivotButton="0" quotePrefix="0" xfId="0">
      <alignment horizontal="center"/>
    </xf>
    <xf numFmtId="15" fontId="18" fillId="0" borderId="15" applyAlignment="1" pivotButton="0" quotePrefix="0" xfId="0">
      <alignment horizontal="center"/>
    </xf>
    <xf numFmtId="9" fontId="18" fillId="0" borderId="15" applyAlignment="1" pivotButton="0" quotePrefix="0" xfId="0">
      <alignment horizontal="center"/>
    </xf>
    <xf numFmtId="9" fontId="18" fillId="0" borderId="40" applyAlignment="1" pivotButton="0" quotePrefix="0" xfId="0">
      <alignment horizontal="center"/>
    </xf>
    <xf numFmtId="0" fontId="0" fillId="0" borderId="12" applyAlignment="1" pivotButton="0" quotePrefix="0" xfId="0">
      <alignment vertical="center" wrapText="1"/>
    </xf>
    <xf numFmtId="0" fontId="0" fillId="0" borderId="14" applyAlignment="1" pivotButton="0" quotePrefix="0" xfId="0">
      <alignment vertical="center" wrapText="1"/>
    </xf>
    <xf numFmtId="0" fontId="0" fillId="0" borderId="40" applyAlignment="1" pivotButton="0" quotePrefix="0" xfId="0">
      <alignment wrapText="1"/>
    </xf>
    <xf numFmtId="0" fontId="0" fillId="0" borderId="20" applyAlignment="1" pivotButton="0" quotePrefix="0" xfId="0">
      <alignment wrapText="1"/>
    </xf>
    <xf numFmtId="0" fontId="0" fillId="0" borderId="19" applyAlignment="1" pivotButton="0" quotePrefix="0" xfId="0">
      <alignment wrapText="1"/>
    </xf>
    <xf numFmtId="0" fontId="8" fillId="0" borderId="13" pivotButton="0" quotePrefix="0" xfId="0"/>
    <xf numFmtId="9" fontId="0" fillId="0" borderId="13" applyAlignment="1" pivotButton="0" quotePrefix="0" xfId="0">
      <alignment horizontal="left"/>
    </xf>
    <xf numFmtId="15" fontId="8" fillId="0" borderId="2" applyAlignment="1" pivotButton="0" quotePrefix="0" xfId="0">
      <alignment horizontal="center" vertical="center"/>
    </xf>
    <xf numFmtId="15" fontId="8" fillId="8" borderId="2" applyAlignment="1" pivotButton="0" quotePrefix="0" xfId="0">
      <alignment horizontal="center" vertical="center"/>
    </xf>
    <xf numFmtId="9" fontId="8" fillId="8" borderId="2" applyAlignment="1" pivotButton="0" quotePrefix="0" xfId="0">
      <alignment horizontal="center" vertical="center"/>
    </xf>
    <xf numFmtId="0" fontId="18" fillId="0" borderId="10" pivotButton="0" quotePrefix="0" xfId="0"/>
    <xf numFmtId="0" fontId="18" fillId="0" borderId="10" applyAlignment="1" pivotButton="0" quotePrefix="0" xfId="0">
      <alignment horizontal="center"/>
    </xf>
    <xf numFmtId="0" fontId="18" fillId="0" borderId="11" pivotButton="0" quotePrefix="0" xfId="0"/>
    <xf numFmtId="0" fontId="18" fillId="0" borderId="13" pivotButton="0" quotePrefix="0" xfId="0"/>
    <xf numFmtId="0" fontId="18" fillId="0" borderId="16" pivotButton="0" quotePrefix="0" xfId="0"/>
    <xf numFmtId="0" fontId="18" fillId="0" borderId="16" applyAlignment="1" pivotButton="0" quotePrefix="0" xfId="0">
      <alignment horizontal="center"/>
    </xf>
    <xf numFmtId="15" fontId="18" fillId="0" borderId="16" applyAlignment="1" pivotButton="0" quotePrefix="0" xfId="0">
      <alignment horizontal="center"/>
    </xf>
    <xf numFmtId="9" fontId="18" fillId="0" borderId="16" applyAlignment="1" pivotButton="0" quotePrefix="0" xfId="0">
      <alignment horizontal="center"/>
    </xf>
    <xf numFmtId="0" fontId="18" fillId="0" borderId="17" pivotButton="0" quotePrefix="0" xfId="0"/>
    <xf numFmtId="0" fontId="12" fillId="0" borderId="0" applyAlignment="1" pivotButton="0" quotePrefix="0" xfId="0">
      <alignment horizontal="center" vertical="center"/>
    </xf>
    <xf numFmtId="0" fontId="18" fillId="0" borderId="28" applyAlignment="1" pivotButton="0" quotePrefix="0" xfId="0">
      <alignment horizontal="center" vertical="center"/>
    </xf>
    <xf numFmtId="0" fontId="18" fillId="0" borderId="29" applyAlignment="1" pivotButton="0" quotePrefix="0" xfId="0">
      <alignment horizontal="center" vertical="center"/>
    </xf>
    <xf numFmtId="0" fontId="18" fillId="0" borderId="31" applyAlignment="1" pivotButton="0" quotePrefix="0" xfId="0">
      <alignment horizontal="center" vertical="center"/>
    </xf>
    <xf numFmtId="0" fontId="18" fillId="0" borderId="10" applyAlignment="1" pivotButton="0" quotePrefix="0" xfId="0">
      <alignment horizontal="center" vertical="center"/>
    </xf>
    <xf numFmtId="0" fontId="18" fillId="0" borderId="2" applyAlignment="1" pivotButton="0" quotePrefix="0" xfId="1">
      <alignment horizontal="center" vertical="center"/>
    </xf>
    <xf numFmtId="0" fontId="18" fillId="0" borderId="16" applyAlignment="1" pivotButton="0" quotePrefix="0" xfId="1">
      <alignment horizontal="center" vertical="center"/>
    </xf>
    <xf numFmtId="0" fontId="0" fillId="0" borderId="28" applyAlignment="1" pivotButton="0" quotePrefix="0" xfId="0">
      <alignment horizontal="center" vertical="center"/>
    </xf>
    <xf numFmtId="0" fontId="0" fillId="0" borderId="31" applyAlignment="1" pivotButton="0" quotePrefix="0" xfId="0">
      <alignment horizontal="center" vertical="center"/>
    </xf>
    <xf numFmtId="0" fontId="0" fillId="0" borderId="10" applyAlignment="1" pivotButton="0" quotePrefix="0" xfId="0">
      <alignment horizontal="center" vertical="center"/>
    </xf>
    <xf numFmtId="0" fontId="0" fillId="0" borderId="16" applyAlignment="1" pivotButton="0" quotePrefix="0" xfId="0">
      <alignment horizontal="center" vertical="center"/>
    </xf>
    <xf numFmtId="0" fontId="0" fillId="0" borderId="29" applyAlignment="1" pivotButton="0" quotePrefix="0" xfId="0">
      <alignment horizontal="center" vertical="center"/>
    </xf>
    <xf numFmtId="0" fontId="0" fillId="0" borderId="2" applyAlignment="1" pivotButton="0" quotePrefix="0" xfId="0">
      <alignment horizontal="center" vertical="center"/>
    </xf>
    <xf numFmtId="0" fontId="0" fillId="0" borderId="0" pivotButton="0" quotePrefix="0" xfId="0"/>
    <xf numFmtId="0" fontId="17" fillId="0" borderId="55" applyAlignment="1" pivotButton="0" quotePrefix="0" xfId="0">
      <alignment horizontal="center" vertical="center"/>
    </xf>
    <xf numFmtId="0" fontId="17" fillId="0" borderId="35" applyAlignment="1" pivotButton="0" quotePrefix="0" xfId="0">
      <alignment horizontal="center" vertical="center"/>
    </xf>
    <xf numFmtId="0" fontId="17" fillId="0" borderId="38" applyAlignment="1" pivotButton="0" quotePrefix="0" xfId="0">
      <alignment horizontal="center" vertical="center"/>
    </xf>
    <xf numFmtId="0" fontId="0" fillId="0" borderId="41" pivotButton="0" quotePrefix="0" xfId="0"/>
    <xf numFmtId="0" fontId="0" fillId="0" borderId="5" applyAlignment="1" pivotButton="0" quotePrefix="0" xfId="0">
      <alignment horizontal="center" vertical="center"/>
    </xf>
    <xf numFmtId="0" fontId="0" fillId="0" borderId="45" pivotButton="0" quotePrefix="0" xfId="0"/>
    <xf numFmtId="0" fontId="0" fillId="0" borderId="19" applyAlignment="1" pivotButton="0" quotePrefix="0" xfId="0">
      <alignment horizontal="center" vertical="center"/>
    </xf>
    <xf numFmtId="0" fontId="0" fillId="0" borderId="6" applyAlignment="1" pivotButton="0" quotePrefix="0" xfId="0">
      <alignment horizontal="center" vertical="center"/>
    </xf>
    <xf numFmtId="0" fontId="0" fillId="0" borderId="10" applyAlignment="1" pivotButton="0" quotePrefix="0" xfId="0">
      <alignment vertical="center"/>
    </xf>
    <xf numFmtId="0" fontId="0" fillId="0" borderId="2" applyAlignment="1" pivotButton="0" quotePrefix="0" xfId="0">
      <alignment vertical="center"/>
    </xf>
    <xf numFmtId="0" fontId="0" fillId="0" borderId="16" applyAlignment="1" pivotButton="0" quotePrefix="0" xfId="0">
      <alignment vertical="center"/>
    </xf>
    <xf numFmtId="0" fontId="0" fillId="0" borderId="10" applyAlignment="1" pivotButton="0" quotePrefix="0" xfId="1">
      <alignment horizontal="center" vertical="center"/>
    </xf>
    <xf numFmtId="0" fontId="0" fillId="0" borderId="2" applyAlignment="1" pivotButton="0" quotePrefix="0" xfId="1">
      <alignment horizontal="center" vertical="center"/>
    </xf>
    <xf numFmtId="0" fontId="0" fillId="0" borderId="16" applyAlignment="1" pivotButton="0" quotePrefix="0" xfId="1">
      <alignment horizontal="center" vertical="center"/>
    </xf>
    <xf numFmtId="0" fontId="0" fillId="0" borderId="10"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16" applyAlignment="1" pivotButton="0" quotePrefix="0" xfId="0">
      <alignment horizontal="center" vertical="center" wrapText="1"/>
    </xf>
    <xf numFmtId="0" fontId="2" fillId="0" borderId="28" applyAlignment="1" pivotButton="0" quotePrefix="0" xfId="0">
      <alignment horizontal="center" vertical="center"/>
    </xf>
    <xf numFmtId="0" fontId="2" fillId="0" borderId="29" applyAlignment="1" pivotButton="0" quotePrefix="0" xfId="0">
      <alignment horizontal="center" vertical="center"/>
    </xf>
    <xf numFmtId="0" fontId="2" fillId="0" borderId="31" applyAlignment="1" pivotButton="0" quotePrefix="0" xfId="0">
      <alignment horizontal="center" vertical="center"/>
    </xf>
    <xf numFmtId="0" fontId="2" fillId="0" borderId="10" applyAlignment="1" pivotButton="0" quotePrefix="0" xfId="0">
      <alignment horizontal="center" vertical="center"/>
    </xf>
    <xf numFmtId="0" fontId="2" fillId="0" borderId="2" applyAlignment="1" pivotButton="0" quotePrefix="0" xfId="0">
      <alignment horizontal="center" vertical="center"/>
    </xf>
    <xf numFmtId="0" fontId="2" fillId="0" borderId="16" applyAlignment="1" pivotButton="0" quotePrefix="0" xfId="0">
      <alignment horizontal="center" vertical="center"/>
    </xf>
    <xf numFmtId="0" fontId="18" fillId="0" borderId="8" applyAlignment="1" pivotButton="0" quotePrefix="0" xfId="0">
      <alignment horizontal="center" vertical="center"/>
    </xf>
    <xf numFmtId="0" fontId="18" fillId="0" borderId="5" applyAlignment="1" pivotButton="0" quotePrefix="0" xfId="0">
      <alignment horizontal="center" vertical="center"/>
    </xf>
    <xf numFmtId="0" fontId="18" fillId="0" borderId="24" applyAlignment="1" pivotButton="0" quotePrefix="0" xfId="0">
      <alignment horizontal="center" vertical="center"/>
    </xf>
    <xf numFmtId="0" fontId="18" fillId="0" borderId="6" applyAlignment="1" pivotButton="0" quotePrefix="0" xfId="0">
      <alignment horizontal="center" vertical="center"/>
    </xf>
    <xf numFmtId="0" fontId="0" fillId="0" borderId="41" applyAlignment="1" pivotButton="0" quotePrefix="0" xfId="0">
      <alignment horizontal="center" vertical="center"/>
    </xf>
    <xf numFmtId="0" fontId="0" fillId="0" borderId="37" applyAlignment="1" pivotButton="0" quotePrefix="0" xfId="0">
      <alignment horizontal="center" vertical="center"/>
    </xf>
    <xf numFmtId="0" fontId="0" fillId="0" borderId="42" applyAlignment="1" pivotButton="0" quotePrefix="0" xfId="0">
      <alignment horizontal="center" vertical="center"/>
    </xf>
    <xf numFmtId="0" fontId="0" fillId="0" borderId="48" applyAlignment="1" pivotButton="0" quotePrefix="0" xfId="1">
      <alignment horizontal="center" vertical="center"/>
    </xf>
    <xf numFmtId="0" fontId="0" fillId="0" borderId="15" applyAlignment="1" pivotButton="0" quotePrefix="0" xfId="1">
      <alignment horizontal="center" vertical="center"/>
    </xf>
    <xf numFmtId="0" fontId="0"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4" applyAlignment="1" pivotButton="0" quotePrefix="0" xfId="0">
      <alignment horizontal="center" vertical="center"/>
    </xf>
    <xf numFmtId="0" fontId="0" fillId="0" borderId="15" applyAlignment="1" pivotButton="0" quotePrefix="0" xfId="0">
      <alignment horizontal="center" vertical="center"/>
    </xf>
    <xf numFmtId="0" fontId="11" fillId="9" borderId="19"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27" applyAlignment="1" pivotButton="0" quotePrefix="0" xfId="0">
      <alignment horizontal="center" vertical="center" wrapText="1"/>
    </xf>
    <xf numFmtId="0" fontId="0" fillId="0" borderId="38" applyAlignment="1" pivotButton="0" quotePrefix="0" xfId="0">
      <alignment horizontal="center" vertical="center" wrapText="1"/>
    </xf>
    <xf numFmtId="0" fontId="11" fillId="9" borderId="44" applyAlignment="1" pivotButton="0" quotePrefix="0" xfId="0">
      <alignment horizontal="center" vertical="center" wrapText="1"/>
    </xf>
    <xf numFmtId="0" fontId="11" fillId="9" borderId="26" applyAlignment="1" pivotButton="0" quotePrefix="0" xfId="0">
      <alignment horizontal="center" vertical="center" wrapText="1"/>
    </xf>
    <xf numFmtId="0" fontId="0" fillId="0" borderId="56" applyAlignment="1" pivotButton="0" quotePrefix="0" xfId="0">
      <alignment horizontal="center" vertical="center"/>
    </xf>
    <xf numFmtId="0" fontId="0" fillId="0" borderId="37" pivotButton="0" quotePrefix="0" xfId="0"/>
    <xf numFmtId="0" fontId="0" fillId="0" borderId="42" pivotButton="0" quotePrefix="0" xfId="0"/>
    <xf numFmtId="0" fontId="0" fillId="0" borderId="12" pivotButton="0" quotePrefix="0" xfId="0"/>
    <xf numFmtId="0" fontId="0" fillId="0" borderId="32" pivotButton="0" quotePrefix="0" xfId="0"/>
    <xf numFmtId="0" fontId="0" fillId="0" borderId="57" pivotButton="0" quotePrefix="0" xfId="0"/>
    <xf numFmtId="0" fontId="0" fillId="0" borderId="58" pivotButton="0" quotePrefix="0" xfId="0"/>
    <xf numFmtId="0" fontId="17" fillId="0" borderId="59" applyAlignment="1" pivotButton="0" quotePrefix="0" xfId="0">
      <alignment horizontal="center" vertical="center"/>
    </xf>
    <xf numFmtId="0" fontId="0" fillId="0" borderId="14" pivotButton="0" quotePrefix="0" xfId="0"/>
    <xf numFmtId="0" fontId="0" fillId="0" borderId="5" pivotButton="0" quotePrefix="0" xfId="0"/>
    <xf numFmtId="0" fontId="0" fillId="0" borderId="60" pivotButton="0" quotePrefix="0" xfId="0"/>
    <xf numFmtId="0" fontId="0" fillId="0" borderId="7" applyAlignment="1" pivotButton="0" quotePrefix="0" xfId="0">
      <alignment horizontal="center" vertical="center" wrapText="1"/>
    </xf>
    <xf numFmtId="0" fontId="11" fillId="9" borderId="10" applyAlignment="1" pivotButton="0" quotePrefix="0" xfId="0">
      <alignment horizontal="center" vertical="center" wrapText="1"/>
    </xf>
    <xf numFmtId="0" fontId="0" fillId="0" borderId="44" pivotButton="0" quotePrefix="0" xfId="0"/>
  </cellXfs>
  <cellStyles count="2">
    <cellStyle name="Normal" xfId="0" builtinId="0"/>
    <cellStyle name="Normal 2" xfId="1"/>
  </cellStyles>
  <dxfs count="34">
    <dxf>
      <font>
        <color theme="1"/>
      </font>
      <fill>
        <patternFill>
          <bgColor theme="9" tint="0.5999633777886288"/>
        </patternFill>
      </fill>
    </dxf>
    <dxf>
      <font>
        <color theme="1"/>
      </font>
      <fill>
        <patternFill>
          <bgColor theme="4" tint="0.7999816888943144"/>
        </patternFill>
      </fill>
    </dxf>
    <dxf>
      <font>
        <color theme="1"/>
      </font>
      <fill>
        <patternFill>
          <bgColor theme="7" tint="0.5999633777886288"/>
        </patternFill>
      </fill>
    </dxf>
    <dxf>
      <font>
        <color rgb="FF9C0006"/>
      </font>
      <fill>
        <patternFill>
          <bgColor rgb="FFFFC7CE"/>
        </patternFill>
      </fill>
    </dxf>
    <dxf>
      <font>
        <color theme="1"/>
      </font>
      <fill>
        <patternFill>
          <bgColor theme="9" tint="0.5999633777886288"/>
        </patternFill>
      </fill>
    </dxf>
    <dxf>
      <font>
        <color theme="1"/>
      </font>
      <fill>
        <patternFill>
          <bgColor theme="4" tint="0.7999816888943144"/>
        </patternFill>
      </fill>
    </dxf>
    <dxf>
      <font>
        <color theme="1"/>
      </font>
      <fill>
        <patternFill>
          <bgColor theme="7" tint="0.5999633777886288"/>
        </patternFill>
      </fill>
    </dxf>
    <dxf>
      <font>
        <color rgb="FF9C0006"/>
      </font>
      <fill>
        <patternFill>
          <bgColor rgb="FFFFC7CE"/>
        </patternFill>
      </fill>
    </dxf>
    <dxf>
      <font>
        <color theme="1"/>
      </font>
      <fill>
        <patternFill>
          <bgColor theme="9" tint="0.5999633777886288"/>
        </patternFill>
      </fill>
    </dxf>
    <dxf>
      <font>
        <color theme="1"/>
      </font>
      <fill>
        <patternFill>
          <bgColor theme="4" tint="0.7999816888943144"/>
        </patternFill>
      </fill>
    </dxf>
    <dxf>
      <font>
        <color theme="1"/>
      </font>
      <fill>
        <patternFill>
          <bgColor theme="7" tint="0.7999816888943144"/>
        </patternFill>
      </fill>
    </dxf>
    <dxf>
      <font>
        <color theme="1"/>
      </font>
      <fill>
        <patternFill>
          <bgColor theme="7" tint="0.5999633777886288"/>
        </patternFill>
      </fill>
    </dxf>
    <dxf>
      <font>
        <color rgb="FF9C0006"/>
      </font>
      <fill>
        <patternFill>
          <bgColor rgb="FFFFC7CE"/>
        </patternFill>
      </fill>
    </dxf>
    <dxf>
      <font>
        <color theme="1"/>
      </font>
      <fill>
        <patternFill>
          <bgColor theme="4" tint="0.7999816888943144"/>
        </patternFill>
      </fill>
    </dxf>
    <dxf>
      <font>
        <color theme="1"/>
      </font>
      <fill>
        <patternFill>
          <bgColor theme="7" tint="0.5999633777886288"/>
        </patternFill>
      </fill>
    </dxf>
    <dxf>
      <font>
        <color theme="1"/>
      </font>
      <fill>
        <patternFill>
          <bgColor theme="9" tint="0.5999633777886288"/>
        </patternFill>
      </fill>
    </dxf>
    <dxf>
      <font>
        <color rgb="FF9C0006"/>
      </font>
      <fill>
        <patternFill>
          <bgColor rgb="FFFFC7CE"/>
        </patternFill>
      </fill>
    </dxf>
    <dxf>
      <font>
        <color theme="1"/>
      </font>
      <fill>
        <patternFill>
          <bgColor theme="4" tint="0.7999816888943144"/>
        </patternFill>
      </fill>
    </dxf>
    <dxf>
      <font>
        <color theme="1"/>
      </font>
      <fill>
        <patternFill>
          <bgColor theme="7" tint="0.7999816888943144"/>
        </patternFill>
      </fill>
    </dxf>
    <dxf>
      <font>
        <color theme="1"/>
      </font>
      <fill>
        <patternFill>
          <bgColor theme="7" tint="0.5999633777886288"/>
        </patternFill>
      </fill>
    </dxf>
    <dxf>
      <numFmt numFmtId="13" formatCode="0%"/>
      <alignment horizontal="center" vertical="bottom"/>
    </dxf>
    <dxf>
      <numFmt numFmtId="13" formatCode="0%"/>
      <alignment horizontal="center" vertical="bottom"/>
    </dxf>
    <dxf>
      <numFmt numFmtId="13" formatCode="0%"/>
      <alignment horizontal="center" vertical="bottom"/>
    </dxf>
    <dxf>
      <numFmt numFmtId="13" formatCode="0%"/>
      <alignment horizontal="center" vertical="bottom"/>
    </dxf>
    <dxf>
      <alignment horizontal="center" vertical="bottom"/>
    </dxf>
    <dxf>
      <alignment horizontal="center" vertical="bottom"/>
    </dxf>
    <dxf>
      <border outline="0">
        <bottom style="thin">
          <color auto="1"/>
        </bottom>
      </border>
    </dxf>
    <dxf>
      <alignment horizontal="center" vertical="bottom"/>
    </dxf>
    <dxf>
      <alignment horizontal="general" vertical="bottom" wrapText="1"/>
    </dxf>
    <dxf>
      <numFmt numFmtId="13" formatCode="0%"/>
      <alignment horizontal="center" vertical="bottom"/>
    </dxf>
    <dxf>
      <alignment horizontal="center" vertical="bottom"/>
    </dxf>
    <dxf>
      <alignment horizontal="center" vertical="bottom"/>
    </dxf>
    <dxf>
      <border outline="0">
        <bottom style="thin">
          <color auto="1"/>
        </bottom>
      </border>
    </dxf>
    <dxf>
      <alignment horizontal="center"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externalLink" Target="/xl/externalLinks/externalLink3.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US" b="1"/>
              <a:t>FY26 -</a:t>
            </a:r>
            <a:r>
              <a:rPr lang="en-US" b="1" baseline="0"/>
              <a:t xml:space="preserve"> YTD Utilization</a:t>
            </a:r>
            <a:endParaRPr lang="en-US"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'[1]Summary - FY26 Utilization'!$E$1</f>
              <strCache>
                <ptCount val="1"/>
                <pt idx="0">
                  <v>Pecentage</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strRef>
              <f>'[1]Summary - FY26 Utilization'!$C$2:$C$5</f>
              <strCache>
                <ptCount val="4"/>
                <pt idx="0">
                  <v>100% Chargeability</v>
                </pt>
                <pt idx="1">
                  <v>&gt;90% Chargeability</v>
                </pt>
                <pt idx="2">
                  <v>70-90% Chargeability</v>
                </pt>
                <pt idx="3">
                  <v>&lt; 70% Chergeability</v>
                </pt>
              </strCache>
            </strRef>
          </cat>
          <val>
            <numRef>
              <f>'[1]Summary - FY26 Utilization'!$E$2:$E$5</f>
              <numCache>
                <formatCode>General</formatCode>
                <ptCount val="4"/>
                <pt idx="0">
                  <v>0.234375</v>
                </pt>
                <pt idx="1">
                  <v>0.265625</v>
                </pt>
                <pt idx="2">
                  <v>0.21875</v>
                </pt>
                <pt idx="3">
                  <v>0.28125</v>
                </pt>
              </numCache>
            </numRef>
          </val>
        </ser>
        <dLbls>
          <showLegendKey val="0"/>
          <showVal val="0"/>
          <showCatName val="0"/>
          <showSerName val="0"/>
          <showPercent val="0"/>
          <showBubbleSize val="0"/>
        </dLbls>
        <gapWidth val="219"/>
        <overlap val="-27"/>
        <axId val="448318880"/>
        <axId val="448344800"/>
      </barChart>
      <catAx>
        <axId val="448318880"/>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
            </a:r>
            <a:endParaRPr lang="en-US"/>
          </a:p>
        </txPr>
        <crossAx val="448344800"/>
        <crosses val="autoZero"/>
        <auto val="1"/>
        <lblAlgn val="ctr"/>
        <lblOffset val="100"/>
        <noMultiLvlLbl val="0"/>
      </catAx>
      <valAx>
        <axId val="4483448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4831888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tc={4D674748-B910-4E8E-B2A5-26CF73FC7D03}</author>
    <author>tc={41D27849-47C9-48C5-A4EE-C962732C4024}</author>
    <author>tc={660972F2-D18B-4CBA-9B22-CF0A9C4DE755}</author>
    <author>tc={E7282108-6DA2-4A67-9C55-3D1FB727D527}</author>
    <author>tc={28723F5A-5E57-4D0E-8318-9A8B18BF6DCE}</author>
  </authors>
  <commentList>
    <comment ref="N13" authorId="0" shapeId="0">
      <text>
        <t>[Threaded comment]
Your version of Excel allows you to read this threaded comment; however, any edits to it will get removed if the file is opened in a newer version of Excel. Learn more: https://go.microsoft.com/fwlink/?linkid=870924
Comment:
    Already charged on MERA</t>
      </text>
    </comment>
    <comment ref="N43" authorId="1" shapeId="0">
      <text>
        <t>[Threaded comment]
Your version of Excel allows you to read this threaded comment; however, any edits to it will get removed if the file is opened in a newer version of Excel. Learn more: https://go.microsoft.com/fwlink/?linkid=870924
Comment:
    65% available</t>
      </text>
    </comment>
    <comment ref="N48" authorId="2" shapeId="0">
      <text>
        <t>[Threaded comment]
Your version of Excel allows you to read this threaded comment; however, any edits to it will get removed if the file is opened in a newer version of Excel. Learn more: https://go.microsoft.com/fwlink/?linkid=870924
Comment:
    Masked Person 57 to confirm end date</t>
      </text>
    </comment>
    <comment ref="N93" authorId="3"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@Masked Person 27 - she worked with Masked Person 40, Masked Person 29 as well- you can check with them too</t>
      </text>
    </comment>
    <comment ref="AJ93" authorId="4"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@Masked Person 27 - this has been corrected</t>
      </text>
    </comment>
  </commentList>
</comments>
</file>

<file path=xl/comments/comment2.xml><?xml version="1.0" encoding="utf-8"?>
<comments xmlns="http://schemas.openxmlformats.org/spreadsheetml/2006/main">
  <authors>
    <author>tc={8AE4E90A-90E5-4D33-B102-7890F3B7A9BF}</author>
    <author>tc={98F6921E-33DA-4736-BB05-BC21BBA1DEB2}</author>
    <author>tc={EBB8A582-557C-4912-A058-7FFA4062224A}</author>
    <author>tc={3B6232B2-9F6D-48EE-8BA0-7E372B496D05}</author>
    <author>tc={080F82D7-E350-472B-9AAE-13F48A2B2BB9}</author>
  </authors>
  <commentList>
    <comment ref="O22" authorId="0"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Check with Masked Person 6 &amp; Masked Person 11
Reply:
    @Masked Person 27 - this looks Wrong- Masked Person 32 only supported for ~2 weeks partially on Client L (Masked Person 24 and Masked Person 37 would be able to provide the info)</t>
      </text>
    </comment>
    <comment ref="O26" authorId="1" shapeId="0">
      <text>
        <t>[Threaded comment]
Your version of Excel allows you to read this threaded comment; however, any edits to it will get removed if the file is opened in a newer version of Excel. Learn more: https://go.microsoft.com/fwlink/?linkid=870924
Comment:
    Already updated 19 June on Profinda</t>
      </text>
    </comment>
    <comment ref="O27" authorId="2" shapeId="0">
      <text>
        <t>[Threaded comment]
Your version of Excel allows you to read this threaded comment; however, any edits to it will get removed if the file is opened in a newer version of Excel. Learn more: https://go.microsoft.com/fwlink/?linkid=870924
Comment:
    Already updated to 19th June</t>
      </text>
    </comment>
    <comment ref="O36" authorId="3" shapeId="0">
      <text>
        <t>[Threaded comment]
Your version of Excel allows you to read this threaded comment; however, any edits to it will get removed if the file is opened in a newer version of Excel. Learn more: https://go.microsoft.com/fwlink/?linkid=870924
Comment:
    Already booked until 4 Jan 2027</t>
      </text>
    </comment>
    <comment ref="AK56" authorId="4"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@Masked Person 27 - this is updated</t>
      </text>
    </comment>
  </commentList>
</comments>
</file>

<file path=xl/comments/comment3.xml><?xml version="1.0" encoding="utf-8"?>
<comments xmlns="http://schemas.openxmlformats.org/spreadsheetml/2006/main">
  <authors>
    <author>tc={F44437C8-D5CD-4461-B323-212B1F0816B5}</author>
    <author>tc={C8EB3ABD-4F7A-43F0-8904-B9D178F1F378}</author>
    <author>tc={EA967BEB-F8BE-4B83-8832-1D6EF2117554}</author>
    <author>tc={2D75594F-11B8-429C-B703-99850FB59C76}</author>
    <author>tc={1968D0CC-76DE-4A99-94B8-DFC29646DCB6}</author>
  </authors>
  <commentList>
    <comment ref="D26" authorId="0" shapeId="0">
      <text>
        <t>[Threaded comment]
Your version of Excel allows you to read this threaded comment; however, any edits to it will get removed if the file is opened in a newer version of Excel. Learn more: https://go.microsoft.com/fwlink/?linkid=870924
Comment:
    Check with Masked Person 6 &amp; Masked Person 11</t>
      </text>
    </comment>
    <comment ref="D30" authorId="1" shapeId="0">
      <text>
        <t>[Threaded comment]
Your version of Excel allows you to read this threaded comment; however, any edits to it will get removed if the file is opened in a newer version of Excel. Learn more: https://go.microsoft.com/fwlink/?linkid=870924
Comment:
    Already updated 19 June on Profinda</t>
      </text>
    </comment>
    <comment ref="D31" authorId="2" shapeId="0">
      <text>
        <t>[Threaded comment]
Your version of Excel allows you to read this threaded comment; however, any edits to it will get removed if the file is opened in a newer version of Excel. Learn more: https://go.microsoft.com/fwlink/?linkid=870924
Comment:
    Already updated to 19th June</t>
      </text>
    </comment>
    <comment ref="D38" authorId="3" shapeId="0">
      <text>
        <t>[Threaded comment]
Your version of Excel allows you to read this threaded comment; however, any edits to it will get removed if the file is opened in a newer version of Excel. Learn more: https://go.microsoft.com/fwlink/?linkid=870924
Comment:
    65% available</t>
      </text>
    </comment>
    <comment ref="D42" authorId="4" shapeId="0">
      <text>
        <t>[Threaded comment]
Your version of Excel allows you to read this threaded comment; however, any edits to it will get removed if the file is opened in a newer version of Excel. Learn more: https://go.microsoft.com/fwlink/?linkid=870924
Comment:
    Already booked until 4 Jan 2027</t>
      </text>
    </comment>
  </commentList>
</comments>
</file>

<file path=xl/comments/comment4.xml><?xml version="1.0" encoding="utf-8"?>
<comments xmlns="http://schemas.openxmlformats.org/spreadsheetml/2006/main">
  <authors>
    <author>tc={C135040A-E0C5-464A-9877-19E4A53A720C}</author>
  </authors>
  <commentList>
    <comment ref="N11" authorId="0" shapeId="0">
      <text>
        <t>[Threaded comment]
Your version of Excel allows you to read this threaded comment; however, any edits to it will get removed if the file is opened in a newer version of Excel. Learn more: https://go.microsoft.com/fwlink/?linkid=870924
Comment:
    Pending Client C code to update Profinda</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3</col>
      <colOff>104774</colOff>
      <row>1</row>
      <rowOff>165100</rowOff>
    </from>
    <to>
      <col>12</col>
      <colOff>69850</colOff>
      <row>17</row>
      <rowOff>171450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https://example.com/personal/maskedperson28/Documents/Resource%20Management/AI%20Data%20-%20FY26%20Utilisation%20Summary.xlsx" TargetMode="External" Id="rId2"/></Relationships>
</file>

<file path=xl/externalLinks/_rels/externalLink2.xml.rels><Relationships xmlns="http://schemas.openxmlformats.org/package/2006/relationships"><Relationship Type="http://schemas.openxmlformats.org/officeDocument/2006/relationships/externalLinkPath" Target="../../anonuser/AppData/Local/Microsoft/Windows/INetCache/Content.Outlook/Y68NG873/AI%20%20Data%20FY27%20Aug%20Wk3%20People%20Flash%20Report%20%20Utilzation%20Analysis.xlsx" TargetMode="External" Id="rId2"/></Relationships>
</file>

<file path=xl/externalLinks/_rels/externalLink3.xml.rels><Relationships xmlns="http://schemas.openxmlformats.org/package/2006/relationships"><Relationship Type="http://schemas.openxmlformats.org/officeDocument/2006/relationships/externalLinkPath" Target="../../anonuser/AppData/Local/Microsoft/Windows/INetCache/Content.Outlook/Y68NG873/AI%20%20Data%20FY27%20Aug%20Wk2%20People%20Flash%20Report%20%20Utilzation%20Analysi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Detail1"/>
      <sheetName val="Export"/>
      <sheetName val="Summary - FY26 Utilization"/>
      <sheetName val="FY26-YTD Utilization"/>
    </sheetNames>
    <sheetDataSet>
      <sheetData sheetId="0"/>
      <sheetData sheetId="1"/>
      <sheetData sheetId="2">
        <row r="1">
          <cell r="E1" t="str">
            <v>Pecentage</v>
          </cell>
        </row>
        <row r="2">
          <cell r="C2" t="str">
            <v>100% Chargeability</v>
          </cell>
          <cell r="E2">
            <v>0.234375</v>
          </cell>
        </row>
        <row r="3">
          <cell r="C3" t="str">
            <v>&gt;90% Chargeability</v>
          </cell>
          <cell r="E3">
            <v>0.265625</v>
          </cell>
        </row>
        <row r="4">
          <cell r="C4" t="str">
            <v>70-90% Chargeability</v>
          </cell>
          <cell r="E4">
            <v>0.21875</v>
          </cell>
        </row>
        <row r="5">
          <cell r="C5" t="str">
            <v>&lt; 70% Chergeability</v>
          </cell>
          <cell r="E5">
            <v>0.28125</v>
          </cell>
        </row>
      </sheetData>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I &amp; Data"/>
    </sheetNames>
    <sheetDataSet>
      <sheetData sheetId="0">
        <row r="1">
          <cell r="B1" t="str">
            <v>AI and Data</v>
          </cell>
        </row>
        <row r="2">
          <cell r="B2" t="str">
            <v>Active</v>
          </cell>
        </row>
        <row r="3">
          <cell r="E3" t="str">
            <v>AugW3 WTD Utilisation</v>
          </cell>
        </row>
        <row r="5">
          <cell r="B5" t="str">
            <v>Employee Name</v>
          </cell>
          <cell r="C5" t="str">
            <v>Rank</v>
          </cell>
          <cell r="D5" t="str">
            <v>Standard Hours</v>
          </cell>
          <cell r="E5" t="str">
            <v>Non-Chargeable Total</v>
          </cell>
          <cell r="F5" t="str">
            <v>WTD Effective Available Hours</v>
          </cell>
          <cell r="G5" t="str">
            <v>WTD Charged Hours</v>
          </cell>
          <cell r="H5" t="str">
            <v>WTD Effective Utilization</v>
          </cell>
        </row>
        <row r="6">
          <cell r="B6" t="str">
            <v>Masked Person 16</v>
          </cell>
          <cell r="C6" t="str">
            <v>Senior Manager (SM2)</v>
          </cell>
          <cell r="D6">
            <v>40</v>
          </cell>
          <cell r="E6">
            <v>0</v>
          </cell>
          <cell r="F6">
            <v>40</v>
          </cell>
          <cell r="G6">
            <v>0</v>
          </cell>
          <cell r="H6">
            <v>0</v>
          </cell>
        </row>
        <row r="7">
          <cell r="B7" t="str">
            <v>Masked Person 17</v>
          </cell>
          <cell r="C7" t="str">
            <v>Senior Manager (SM2)</v>
          </cell>
          <cell r="D7">
            <v>40</v>
          </cell>
          <cell r="E7">
            <v>0</v>
          </cell>
          <cell r="F7">
            <v>40</v>
          </cell>
          <cell r="G7">
            <v>0</v>
          </cell>
          <cell r="H7">
            <v>0</v>
          </cell>
        </row>
        <row r="8">
          <cell r="B8" t="str">
            <v>Masked Person 29</v>
          </cell>
          <cell r="C8" t="str">
            <v>Senior Manager (SM2)</v>
          </cell>
          <cell r="D8">
            <v>40</v>
          </cell>
          <cell r="E8">
            <v>0</v>
          </cell>
          <cell r="F8">
            <v>40</v>
          </cell>
          <cell r="G8">
            <v>0</v>
          </cell>
          <cell r="H8">
            <v>0</v>
          </cell>
        </row>
        <row r="9">
          <cell r="B9" t="str">
            <v>Masked Person 37</v>
          </cell>
          <cell r="C9" t="str">
            <v>Senior Manager (SM2)</v>
          </cell>
          <cell r="D9">
            <v>40</v>
          </cell>
          <cell r="E9">
            <v>0</v>
          </cell>
          <cell r="F9">
            <v>40</v>
          </cell>
          <cell r="G9">
            <v>0</v>
          </cell>
          <cell r="H9">
            <v>0</v>
          </cell>
        </row>
        <row r="10">
          <cell r="B10" t="str">
            <v>Masked Person 40</v>
          </cell>
          <cell r="C10" t="str">
            <v>Senior Manager (SM2)</v>
          </cell>
          <cell r="D10">
            <v>40</v>
          </cell>
          <cell r="E10">
            <v>8</v>
          </cell>
          <cell r="F10">
            <v>32</v>
          </cell>
          <cell r="G10">
            <v>21</v>
          </cell>
          <cell r="H10">
            <v>0.65625</v>
          </cell>
        </row>
        <row r="11">
          <cell r="B11" t="str">
            <v>Masked Person 61</v>
          </cell>
          <cell r="C11" t="str">
            <v>Senior Manager (SM2)</v>
          </cell>
          <cell r="D11">
            <v>40</v>
          </cell>
          <cell r="E11">
            <v>0</v>
          </cell>
          <cell r="F11">
            <v>40</v>
          </cell>
          <cell r="G11">
            <v>0</v>
          </cell>
          <cell r="H11">
            <v>0</v>
          </cell>
        </row>
        <row r="12">
          <cell r="B12" t="str">
            <v>Masked Person 1</v>
          </cell>
          <cell r="C12" t="str">
            <v>Senior Manager (SM1)</v>
          </cell>
          <cell r="D12">
            <v>40</v>
          </cell>
          <cell r="E12">
            <v>0</v>
          </cell>
          <cell r="F12">
            <v>40</v>
          </cell>
          <cell r="G12">
            <v>24</v>
          </cell>
          <cell r="H12">
            <v>0.6</v>
          </cell>
        </row>
        <row r="13">
          <cell r="B13" t="str">
            <v>Masked Person 11</v>
          </cell>
          <cell r="C13" t="str">
            <v>Senior Manager (SM1)</v>
          </cell>
          <cell r="D13">
            <v>40</v>
          </cell>
          <cell r="E13">
            <v>0</v>
          </cell>
          <cell r="F13">
            <v>40</v>
          </cell>
          <cell r="G13">
            <v>20</v>
          </cell>
          <cell r="H13">
            <v>0.5</v>
          </cell>
        </row>
        <row r="14">
          <cell r="B14" t="str">
            <v>Masked Person 13</v>
          </cell>
          <cell r="C14" t="str">
            <v>Senior Manager (SM1)</v>
          </cell>
          <cell r="D14">
            <v>40</v>
          </cell>
          <cell r="E14">
            <v>0</v>
          </cell>
          <cell r="F14">
            <v>40</v>
          </cell>
          <cell r="G14">
            <v>16</v>
          </cell>
          <cell r="H14">
            <v>0.4</v>
          </cell>
        </row>
        <row r="15">
          <cell r="B15" t="str">
            <v>Masked Person 69</v>
          </cell>
          <cell r="C15" t="str">
            <v>Senior Manager (SM1)</v>
          </cell>
          <cell r="D15">
            <v>40</v>
          </cell>
          <cell r="E15">
            <v>0</v>
          </cell>
          <cell r="F15">
            <v>40</v>
          </cell>
          <cell r="G15">
            <v>24</v>
          </cell>
          <cell r="H15">
            <v>0.6</v>
          </cell>
        </row>
        <row r="16">
          <cell r="B16" t="str">
            <v>Masked Person 7</v>
          </cell>
          <cell r="C16" t="str">
            <v>Manager (MG1)</v>
          </cell>
          <cell r="D16">
            <v>40</v>
          </cell>
          <cell r="E16">
            <v>40</v>
          </cell>
          <cell r="F16">
            <v>0</v>
          </cell>
          <cell r="G16">
            <v>0</v>
          </cell>
          <cell r="H16">
            <v>0</v>
          </cell>
        </row>
        <row r="17">
          <cell r="B17" t="str">
            <v>Masked Person 20</v>
          </cell>
          <cell r="C17" t="str">
            <v>Manager (MG1)</v>
          </cell>
          <cell r="D17">
            <v>40</v>
          </cell>
          <cell r="E17">
            <v>0</v>
          </cell>
          <cell r="F17">
            <v>40</v>
          </cell>
          <cell r="G17">
            <v>40</v>
          </cell>
          <cell r="H17">
            <v>1</v>
          </cell>
        </row>
        <row r="18">
          <cell r="B18" t="str">
            <v>Masked Person 25</v>
          </cell>
          <cell r="C18" t="str">
            <v>Manager (MG1)</v>
          </cell>
          <cell r="D18">
            <v>40</v>
          </cell>
          <cell r="E18">
            <v>0</v>
          </cell>
          <cell r="F18">
            <v>40</v>
          </cell>
          <cell r="G18">
            <v>0</v>
          </cell>
          <cell r="H18">
            <v>0</v>
          </cell>
        </row>
        <row r="19">
          <cell r="B19" t="str">
            <v>Masked Person 27</v>
          </cell>
          <cell r="C19" t="str">
            <v>Manager (MG1)</v>
          </cell>
          <cell r="D19">
            <v>40</v>
          </cell>
          <cell r="E19">
            <v>8</v>
          </cell>
          <cell r="F19">
            <v>32</v>
          </cell>
          <cell r="G19">
            <v>24</v>
          </cell>
          <cell r="H19">
            <v>0.75</v>
          </cell>
        </row>
        <row r="20">
          <cell r="B20" t="str">
            <v>Masked Person 55</v>
          </cell>
          <cell r="C20" t="str">
            <v>Manager (MG1)</v>
          </cell>
          <cell r="D20">
            <v>40</v>
          </cell>
          <cell r="E20">
            <v>0</v>
          </cell>
          <cell r="F20">
            <v>40</v>
          </cell>
          <cell r="G20">
            <v>96</v>
          </cell>
          <cell r="H20">
            <v>2.4</v>
          </cell>
        </row>
        <row r="21">
          <cell r="B21" t="str">
            <v>Masked Person 57</v>
          </cell>
          <cell r="C21" t="str">
            <v>Manager (MG1)</v>
          </cell>
          <cell r="D21">
            <v>40</v>
          </cell>
          <cell r="E21">
            <v>0</v>
          </cell>
          <cell r="F21">
            <v>40</v>
          </cell>
          <cell r="G21">
            <v>40</v>
          </cell>
          <cell r="H21">
            <v>1</v>
          </cell>
        </row>
        <row r="22">
          <cell r="B22" t="str">
            <v>Masked Person 60</v>
          </cell>
          <cell r="C22" t="str">
            <v>Manager (MG1)</v>
          </cell>
          <cell r="D22">
            <v>40</v>
          </cell>
          <cell r="E22">
            <v>0</v>
          </cell>
          <cell r="F22">
            <v>40</v>
          </cell>
          <cell r="G22">
            <v>40</v>
          </cell>
          <cell r="H22">
            <v>1</v>
          </cell>
        </row>
        <row r="23">
          <cell r="B23" t="str">
            <v>Masked Person 68</v>
          </cell>
          <cell r="C23" t="str">
            <v>Manager (MG1)</v>
          </cell>
          <cell r="D23">
            <v>40</v>
          </cell>
          <cell r="E23">
            <v>0</v>
          </cell>
          <cell r="F23">
            <v>40</v>
          </cell>
          <cell r="G23">
            <v>22</v>
          </cell>
          <cell r="H23">
            <v>0.55000000000000004</v>
          </cell>
        </row>
        <row r="24">
          <cell r="B24" t="str">
            <v>Masked Person 83</v>
          </cell>
          <cell r="C24" t="str">
            <v>Manager (MG1)</v>
          </cell>
          <cell r="D24">
            <v>40</v>
          </cell>
          <cell r="E24">
            <v>0</v>
          </cell>
          <cell r="F24">
            <v>40</v>
          </cell>
          <cell r="G24">
            <v>0</v>
          </cell>
          <cell r="H24">
            <v>0</v>
          </cell>
        </row>
        <row r="25">
          <cell r="B25" t="str">
            <v>Masked Person 96</v>
          </cell>
          <cell r="C25" t="str">
            <v>Manager (MG1)</v>
          </cell>
          <cell r="D25">
            <v>40</v>
          </cell>
          <cell r="E25">
            <v>0</v>
          </cell>
          <cell r="F25">
            <v>40</v>
          </cell>
          <cell r="G25">
            <v>40</v>
          </cell>
          <cell r="H25">
            <v>1</v>
          </cell>
        </row>
        <row r="26">
          <cell r="B26" t="str">
            <v>Masked Person 3</v>
          </cell>
          <cell r="C26" t="str">
            <v>Senior (SN3)</v>
          </cell>
          <cell r="D26">
            <v>40</v>
          </cell>
          <cell r="E26">
            <v>0</v>
          </cell>
          <cell r="F26">
            <v>40</v>
          </cell>
          <cell r="G26">
            <v>40</v>
          </cell>
          <cell r="H26">
            <v>1</v>
          </cell>
        </row>
        <row r="27">
          <cell r="B27" t="str">
            <v>Masked Person 6</v>
          </cell>
          <cell r="C27" t="str">
            <v>Senior (SN3)</v>
          </cell>
          <cell r="D27">
            <v>40</v>
          </cell>
          <cell r="E27">
            <v>0</v>
          </cell>
          <cell r="F27">
            <v>40</v>
          </cell>
          <cell r="G27">
            <v>20</v>
          </cell>
          <cell r="H27">
            <v>0.5</v>
          </cell>
        </row>
        <row r="28">
          <cell r="B28" t="str">
            <v>Masked Person 26</v>
          </cell>
          <cell r="C28" t="str">
            <v>Senior (SN3)</v>
          </cell>
          <cell r="D28">
            <v>40</v>
          </cell>
          <cell r="E28">
            <v>8</v>
          </cell>
          <cell r="F28">
            <v>32</v>
          </cell>
          <cell r="G28">
            <v>32</v>
          </cell>
          <cell r="H28">
            <v>1</v>
          </cell>
        </row>
        <row r="29">
          <cell r="B29" t="str">
            <v>Masked Person 30</v>
          </cell>
          <cell r="C29" t="str">
            <v>Senior (SN3)</v>
          </cell>
          <cell r="D29">
            <v>40</v>
          </cell>
          <cell r="E29">
            <v>0</v>
          </cell>
          <cell r="F29">
            <v>40</v>
          </cell>
          <cell r="G29">
            <v>152</v>
          </cell>
          <cell r="H29">
            <v>3.8</v>
          </cell>
        </row>
        <row r="30">
          <cell r="B30" t="str">
            <v>Masked Person 46</v>
          </cell>
          <cell r="C30" t="str">
            <v>Senior (SN3)</v>
          </cell>
          <cell r="D30">
            <v>40</v>
          </cell>
          <cell r="E30">
            <v>0</v>
          </cell>
          <cell r="F30">
            <v>40</v>
          </cell>
          <cell r="G30">
            <v>45</v>
          </cell>
          <cell r="H30">
            <v>1.125</v>
          </cell>
        </row>
        <row r="31">
          <cell r="B31" t="str">
            <v>Masked Person 50</v>
          </cell>
          <cell r="C31" t="str">
            <v>Senior (SN3)</v>
          </cell>
          <cell r="D31">
            <v>40</v>
          </cell>
          <cell r="E31">
            <v>0</v>
          </cell>
          <cell r="F31">
            <v>40</v>
          </cell>
          <cell r="G31">
            <v>0</v>
          </cell>
          <cell r="H31">
            <v>0</v>
          </cell>
        </row>
        <row r="32">
          <cell r="B32" t="str">
            <v>Masked Person 79</v>
          </cell>
          <cell r="C32" t="str">
            <v>Senior (SN3)</v>
          </cell>
          <cell r="D32">
            <v>40</v>
          </cell>
          <cell r="E32">
            <v>0</v>
          </cell>
          <cell r="F32">
            <v>40</v>
          </cell>
          <cell r="G32">
            <v>40</v>
          </cell>
          <cell r="H32">
            <v>1</v>
          </cell>
        </row>
        <row r="33">
          <cell r="B33" t="str">
            <v>Masked Person 8</v>
          </cell>
          <cell r="C33" t="str">
            <v>Senior (SN2)</v>
          </cell>
          <cell r="D33">
            <v>40</v>
          </cell>
          <cell r="E33">
            <v>0</v>
          </cell>
          <cell r="F33">
            <v>40</v>
          </cell>
          <cell r="G33">
            <v>40</v>
          </cell>
          <cell r="H33">
            <v>1</v>
          </cell>
        </row>
        <row r="34">
          <cell r="B34" t="str">
            <v>Masked Person 12</v>
          </cell>
          <cell r="C34" t="str">
            <v>Senior (SN2)</v>
          </cell>
          <cell r="D34">
            <v>40</v>
          </cell>
          <cell r="E34">
            <v>0</v>
          </cell>
          <cell r="F34">
            <v>40</v>
          </cell>
          <cell r="G34">
            <v>0</v>
          </cell>
          <cell r="H34">
            <v>0</v>
          </cell>
        </row>
        <row r="35">
          <cell r="B35" t="str">
            <v>Masked Person 33</v>
          </cell>
          <cell r="C35" t="str">
            <v>Senior (SN2)</v>
          </cell>
          <cell r="D35">
            <v>40</v>
          </cell>
          <cell r="E35">
            <v>0</v>
          </cell>
          <cell r="F35">
            <v>40</v>
          </cell>
          <cell r="G35">
            <v>45</v>
          </cell>
          <cell r="H35">
            <v>1.125</v>
          </cell>
        </row>
        <row r="36">
          <cell r="B36" t="str">
            <v>Masked Person 35</v>
          </cell>
          <cell r="C36" t="str">
            <v>Senior (SN2)</v>
          </cell>
          <cell r="D36">
            <v>40</v>
          </cell>
          <cell r="E36">
            <v>0</v>
          </cell>
          <cell r="F36">
            <v>40</v>
          </cell>
          <cell r="G36">
            <v>0</v>
          </cell>
          <cell r="H36">
            <v>0</v>
          </cell>
        </row>
        <row r="37">
          <cell r="B37" t="str">
            <v>Masked Person 73</v>
          </cell>
          <cell r="C37" t="str">
            <v>Senior (SN2)</v>
          </cell>
          <cell r="D37">
            <v>40</v>
          </cell>
          <cell r="E37">
            <v>0</v>
          </cell>
          <cell r="F37">
            <v>40</v>
          </cell>
          <cell r="G37">
            <v>40</v>
          </cell>
          <cell r="H37">
            <v>1</v>
          </cell>
        </row>
        <row r="38">
          <cell r="B38" t="str">
            <v>Masked Person 4</v>
          </cell>
          <cell r="C38" t="str">
            <v>Senior (SN1)</v>
          </cell>
          <cell r="D38">
            <v>40</v>
          </cell>
          <cell r="E38">
            <v>0</v>
          </cell>
          <cell r="F38">
            <v>40</v>
          </cell>
          <cell r="G38">
            <v>40</v>
          </cell>
          <cell r="H38">
            <v>1</v>
          </cell>
        </row>
        <row r="39">
          <cell r="B39" t="str">
            <v>Masked Person 5</v>
          </cell>
          <cell r="C39" t="str">
            <v>Senior (SN1)</v>
          </cell>
          <cell r="D39">
            <v>40</v>
          </cell>
          <cell r="E39">
            <v>24</v>
          </cell>
          <cell r="F39">
            <v>16</v>
          </cell>
          <cell r="G39">
            <v>0</v>
          </cell>
          <cell r="H39">
            <v>0</v>
          </cell>
        </row>
        <row r="40">
          <cell r="B40" t="str">
            <v>Masked Person 22</v>
          </cell>
          <cell r="C40" t="str">
            <v>Senior (SN1)</v>
          </cell>
          <cell r="D40">
            <v>40</v>
          </cell>
          <cell r="E40">
            <v>0</v>
          </cell>
          <cell r="F40">
            <v>40</v>
          </cell>
          <cell r="G40">
            <v>40</v>
          </cell>
          <cell r="H40">
            <v>1</v>
          </cell>
        </row>
        <row r="41">
          <cell r="B41" t="str">
            <v>Masked Person 39</v>
          </cell>
          <cell r="C41" t="str">
            <v>Senior (SN1)</v>
          </cell>
          <cell r="D41">
            <v>40</v>
          </cell>
          <cell r="E41">
            <v>16</v>
          </cell>
          <cell r="F41">
            <v>24</v>
          </cell>
          <cell r="G41">
            <v>24</v>
          </cell>
          <cell r="H41">
            <v>1</v>
          </cell>
        </row>
        <row r="42">
          <cell r="B42" t="str">
            <v>Masked Person 53</v>
          </cell>
          <cell r="C42" t="str">
            <v>Senior (SN1)</v>
          </cell>
          <cell r="D42">
            <v>40</v>
          </cell>
          <cell r="E42">
            <v>0</v>
          </cell>
          <cell r="F42">
            <v>40</v>
          </cell>
          <cell r="G42">
            <v>45</v>
          </cell>
          <cell r="H42">
            <v>1.125</v>
          </cell>
        </row>
        <row r="43">
          <cell r="B43" t="str">
            <v>Masked Person 95</v>
          </cell>
          <cell r="C43" t="str">
            <v>Senior (SN1)</v>
          </cell>
          <cell r="D43">
            <v>40</v>
          </cell>
          <cell r="E43">
            <v>0</v>
          </cell>
          <cell r="F43">
            <v>40</v>
          </cell>
          <cell r="G43">
            <v>45</v>
          </cell>
          <cell r="H43">
            <v>1.125</v>
          </cell>
        </row>
        <row r="44">
          <cell r="B44" t="str">
            <v>Masked Person 71</v>
          </cell>
          <cell r="C44" t="str">
            <v>Senior (SN1)</v>
          </cell>
          <cell r="D44">
            <v>40</v>
          </cell>
          <cell r="E44">
            <v>0</v>
          </cell>
          <cell r="F44">
            <v>40</v>
          </cell>
          <cell r="G44">
            <v>45</v>
          </cell>
          <cell r="H44">
            <v>1.125</v>
          </cell>
        </row>
        <row r="45">
          <cell r="B45" t="str">
            <v>Masked Person 9</v>
          </cell>
          <cell r="C45" t="str">
            <v>Staff (ST1)</v>
          </cell>
          <cell r="D45">
            <v>40</v>
          </cell>
          <cell r="E45">
            <v>0</v>
          </cell>
          <cell r="F45">
            <v>40</v>
          </cell>
          <cell r="G45">
            <v>40</v>
          </cell>
          <cell r="H45">
            <v>1</v>
          </cell>
        </row>
        <row r="46">
          <cell r="B46" t="str">
            <v>Masked Person 18</v>
          </cell>
          <cell r="C46" t="str">
            <v>Staff (ST1)</v>
          </cell>
          <cell r="D46">
            <v>40</v>
          </cell>
          <cell r="E46">
            <v>0</v>
          </cell>
          <cell r="F46">
            <v>40</v>
          </cell>
          <cell r="G46">
            <v>40</v>
          </cell>
          <cell r="H46">
            <v>1</v>
          </cell>
        </row>
        <row r="47">
          <cell r="B47" t="str">
            <v>Masked Person 28</v>
          </cell>
          <cell r="C47" t="str">
            <v>Staff (ST1)</v>
          </cell>
          <cell r="D47">
            <v>40</v>
          </cell>
          <cell r="E47">
            <v>0</v>
          </cell>
          <cell r="F47">
            <v>40</v>
          </cell>
          <cell r="G47">
            <v>40</v>
          </cell>
          <cell r="H47">
            <v>1</v>
          </cell>
        </row>
        <row r="48">
          <cell r="B48" t="str">
            <v>Masked Person 31</v>
          </cell>
          <cell r="C48" t="str">
            <v>Staff (ST1)</v>
          </cell>
          <cell r="D48">
            <v>40</v>
          </cell>
          <cell r="E48">
            <v>0</v>
          </cell>
          <cell r="F48">
            <v>40</v>
          </cell>
          <cell r="G48">
            <v>45</v>
          </cell>
          <cell r="H48">
            <v>1.125</v>
          </cell>
        </row>
        <row r="49">
          <cell r="B49" t="str">
            <v>Masked Person 32</v>
          </cell>
          <cell r="C49" t="str">
            <v>Staff (ST1)</v>
          </cell>
          <cell r="D49">
            <v>40</v>
          </cell>
          <cell r="E49">
            <v>0</v>
          </cell>
          <cell r="F49">
            <v>40</v>
          </cell>
          <cell r="G49">
            <v>80</v>
          </cell>
          <cell r="H49">
            <v>2</v>
          </cell>
        </row>
        <row r="50">
          <cell r="B50" t="str">
            <v>Masked Person 34</v>
          </cell>
          <cell r="C50" t="str">
            <v>Staff (ST1)</v>
          </cell>
          <cell r="D50">
            <v>40</v>
          </cell>
          <cell r="E50">
            <v>0</v>
          </cell>
          <cell r="F50">
            <v>40</v>
          </cell>
          <cell r="G50">
            <v>40</v>
          </cell>
          <cell r="H50">
            <v>1</v>
          </cell>
        </row>
        <row r="51">
          <cell r="B51" t="str">
            <v>Masked Person 38</v>
          </cell>
          <cell r="C51" t="str">
            <v>Staff (ST1)</v>
          </cell>
          <cell r="D51">
            <v>40</v>
          </cell>
          <cell r="E51">
            <v>0</v>
          </cell>
          <cell r="F51">
            <v>40</v>
          </cell>
          <cell r="G51">
            <v>108</v>
          </cell>
          <cell r="H51">
            <v>2.7</v>
          </cell>
        </row>
        <row r="52">
          <cell r="B52" t="str">
            <v>Masked Person 52</v>
          </cell>
          <cell r="C52" t="str">
            <v>Staff (ST1)</v>
          </cell>
          <cell r="D52">
            <v>40</v>
          </cell>
          <cell r="E52">
            <v>0</v>
          </cell>
          <cell r="F52">
            <v>40</v>
          </cell>
          <cell r="G52">
            <v>40</v>
          </cell>
          <cell r="H52">
            <v>1</v>
          </cell>
        </row>
        <row r="53">
          <cell r="B53" t="str">
            <v>Masked Person 59</v>
          </cell>
          <cell r="C53" t="str">
            <v>Staff (ST1)</v>
          </cell>
          <cell r="D53">
            <v>40</v>
          </cell>
          <cell r="E53">
            <v>40</v>
          </cell>
          <cell r="F53">
            <v>0</v>
          </cell>
          <cell r="G53">
            <v>0</v>
          </cell>
          <cell r="H53">
            <v>0</v>
          </cell>
        </row>
        <row r="54">
          <cell r="B54" t="str">
            <v>Masked Person 63</v>
          </cell>
          <cell r="C54" t="str">
            <v>Staff (ST1)</v>
          </cell>
          <cell r="D54">
            <v>40</v>
          </cell>
          <cell r="E54">
            <v>0</v>
          </cell>
          <cell r="F54">
            <v>40</v>
          </cell>
          <cell r="G54">
            <v>45</v>
          </cell>
          <cell r="H54">
            <v>1.125</v>
          </cell>
        </row>
        <row r="55">
          <cell r="B55" t="str">
            <v>Masked Person 70</v>
          </cell>
          <cell r="C55" t="str">
            <v>Staff (ST1)</v>
          </cell>
          <cell r="D55">
            <v>40</v>
          </cell>
          <cell r="E55">
            <v>0</v>
          </cell>
          <cell r="F55">
            <v>40</v>
          </cell>
          <cell r="G55">
            <v>40</v>
          </cell>
          <cell r="H55">
            <v>1</v>
          </cell>
        </row>
        <row r="56">
          <cell r="B56" t="str">
            <v>Masked Person 72</v>
          </cell>
          <cell r="C56" t="str">
            <v>Staff (ST1)</v>
          </cell>
          <cell r="D56">
            <v>40</v>
          </cell>
          <cell r="E56">
            <v>0</v>
          </cell>
          <cell r="F56">
            <v>40</v>
          </cell>
          <cell r="G56">
            <v>40</v>
          </cell>
          <cell r="H56">
            <v>1</v>
          </cell>
        </row>
        <row r="57">
          <cell r="B57" t="str">
            <v>Masked Person 76</v>
          </cell>
          <cell r="C57" t="str">
            <v>Staff (ST1)</v>
          </cell>
          <cell r="D57">
            <v>40</v>
          </cell>
          <cell r="E57">
            <v>0</v>
          </cell>
          <cell r="F57">
            <v>40</v>
          </cell>
          <cell r="G57">
            <v>40</v>
          </cell>
          <cell r="H57">
            <v>1</v>
          </cell>
        </row>
        <row r="58">
          <cell r="B58" t="str">
            <v>Masked Person 78</v>
          </cell>
          <cell r="C58" t="str">
            <v>Staff (ST1)</v>
          </cell>
          <cell r="D58">
            <v>40</v>
          </cell>
          <cell r="E58">
            <v>0</v>
          </cell>
          <cell r="F58">
            <v>40</v>
          </cell>
          <cell r="G58">
            <v>0</v>
          </cell>
          <cell r="H58">
            <v>0</v>
          </cell>
        </row>
        <row r="59">
          <cell r="B59" t="str">
            <v>Masked Person 80</v>
          </cell>
          <cell r="C59" t="str">
            <v>Staff (ST1)</v>
          </cell>
          <cell r="D59">
            <v>40</v>
          </cell>
          <cell r="E59">
            <v>0</v>
          </cell>
          <cell r="F59">
            <v>40</v>
          </cell>
          <cell r="G59">
            <v>40</v>
          </cell>
          <cell r="H59">
            <v>1</v>
          </cell>
        </row>
        <row r="60">
          <cell r="B60" t="str">
            <v>Masked Person 81</v>
          </cell>
          <cell r="C60" t="str">
            <v>Staff (ST1)</v>
          </cell>
          <cell r="D60">
            <v>40</v>
          </cell>
          <cell r="E60">
            <v>0</v>
          </cell>
          <cell r="F60">
            <v>40</v>
          </cell>
          <cell r="G60">
            <v>45</v>
          </cell>
          <cell r="H60">
            <v>1.125</v>
          </cell>
        </row>
        <row r="61">
          <cell r="B61" t="str">
            <v>Masked Person 87</v>
          </cell>
          <cell r="C61" t="str">
            <v>Staff (ST1)</v>
          </cell>
          <cell r="D61">
            <v>40</v>
          </cell>
          <cell r="E61">
            <v>0</v>
          </cell>
          <cell r="F61">
            <v>40</v>
          </cell>
          <cell r="G61">
            <v>80</v>
          </cell>
          <cell r="H61">
            <v>2</v>
          </cell>
        </row>
        <row r="62">
          <cell r="B62" t="str">
            <v>Masked Person 89</v>
          </cell>
          <cell r="C62" t="str">
            <v>Staff (ST1)</v>
          </cell>
          <cell r="D62">
            <v>40</v>
          </cell>
          <cell r="E62">
            <v>0</v>
          </cell>
          <cell r="F62">
            <v>40</v>
          </cell>
          <cell r="G62">
            <v>40</v>
          </cell>
          <cell r="H62">
            <v>1</v>
          </cell>
        </row>
        <row r="63">
          <cell r="B63" t="str">
            <v>Masked Person 91</v>
          </cell>
          <cell r="C63" t="str">
            <v>Staff (ST1)</v>
          </cell>
          <cell r="D63">
            <v>40</v>
          </cell>
          <cell r="E63">
            <v>0</v>
          </cell>
          <cell r="F63">
            <v>40</v>
          </cell>
          <cell r="G63">
            <v>40</v>
          </cell>
          <cell r="H63">
            <v>1</v>
          </cell>
        </row>
        <row r="64">
          <cell r="B64" t="str">
            <v>Masked Person 92</v>
          </cell>
          <cell r="C64" t="str">
            <v>Staff (ST1)</v>
          </cell>
          <cell r="D64">
            <v>40</v>
          </cell>
          <cell r="E64">
            <v>0</v>
          </cell>
          <cell r="F64">
            <v>40</v>
          </cell>
          <cell r="G64">
            <v>0</v>
          </cell>
          <cell r="H64">
            <v>0</v>
          </cell>
        </row>
        <row r="65">
          <cell r="B65" t="str">
            <v>Masked Person 10</v>
          </cell>
          <cell r="C65" t="str">
            <v>Staff (ST1)</v>
          </cell>
          <cell r="D65">
            <v>40</v>
          </cell>
          <cell r="E65">
            <v>0</v>
          </cell>
          <cell r="F65">
            <v>40</v>
          </cell>
          <cell r="G65">
            <v>45</v>
          </cell>
          <cell r="H65">
            <v>1.125</v>
          </cell>
        </row>
        <row r="66">
          <cell r="B66" t="str">
            <v>Masked Person 15</v>
          </cell>
          <cell r="C66" t="str">
            <v>Intern (CS) (IN1)</v>
          </cell>
          <cell r="D66">
            <v>40</v>
          </cell>
          <cell r="E66">
            <v>0</v>
          </cell>
          <cell r="F66">
            <v>40</v>
          </cell>
          <cell r="G66">
            <v>40</v>
          </cell>
          <cell r="H66">
            <v>1</v>
          </cell>
        </row>
        <row r="67">
          <cell r="B67" t="str">
            <v>Masked Person 19</v>
          </cell>
          <cell r="C67" t="str">
            <v>Intern (CS) (IN1)</v>
          </cell>
          <cell r="D67">
            <v>40</v>
          </cell>
          <cell r="E67">
            <v>0</v>
          </cell>
          <cell r="F67">
            <v>40</v>
          </cell>
          <cell r="G67">
            <v>40</v>
          </cell>
          <cell r="H67">
            <v>1</v>
          </cell>
        </row>
        <row r="68">
          <cell r="B68" t="str">
            <v>Masked Person 41</v>
          </cell>
          <cell r="C68" t="str">
            <v>Intern (CS) (IN1)</v>
          </cell>
          <cell r="D68">
            <v>40</v>
          </cell>
          <cell r="E68">
            <v>0</v>
          </cell>
          <cell r="F68">
            <v>40</v>
          </cell>
          <cell r="G68">
            <v>40</v>
          </cell>
          <cell r="H68">
            <v>1</v>
          </cell>
        </row>
        <row r="69">
          <cell r="B69" t="str">
            <v>Masked Person 44</v>
          </cell>
          <cell r="C69" t="str">
            <v>Intern (CS) (IN1)</v>
          </cell>
          <cell r="D69">
            <v>40</v>
          </cell>
          <cell r="E69">
            <v>0</v>
          </cell>
          <cell r="F69">
            <v>40</v>
          </cell>
          <cell r="G69">
            <v>0</v>
          </cell>
          <cell r="H69">
            <v>0</v>
          </cell>
        </row>
        <row r="70">
          <cell r="B70" t="str">
            <v>Masked Person 45</v>
          </cell>
          <cell r="C70" t="str">
            <v>Intern (CS) (IN1)</v>
          </cell>
          <cell r="D70">
            <v>40</v>
          </cell>
          <cell r="E70">
            <v>0</v>
          </cell>
          <cell r="F70">
            <v>40</v>
          </cell>
          <cell r="G70">
            <v>80</v>
          </cell>
          <cell r="H70">
            <v>2</v>
          </cell>
        </row>
        <row r="71">
          <cell r="B71" t="str">
            <v>Masked Person 49</v>
          </cell>
          <cell r="C71" t="str">
            <v>Intern (CS) (IN1)</v>
          </cell>
          <cell r="D71">
            <v>40</v>
          </cell>
          <cell r="E71">
            <v>16</v>
          </cell>
          <cell r="F71">
            <v>24</v>
          </cell>
          <cell r="G71">
            <v>30</v>
          </cell>
          <cell r="H71">
            <v>1.25</v>
          </cell>
        </row>
        <row r="72">
          <cell r="B72" t="str">
            <v>Masked Person 64</v>
          </cell>
          <cell r="C72" t="str">
            <v>Intern (CS) (IN1)</v>
          </cell>
          <cell r="D72">
            <v>40</v>
          </cell>
          <cell r="E72">
            <v>0</v>
          </cell>
          <cell r="F72">
            <v>40</v>
          </cell>
          <cell r="G72">
            <v>40</v>
          </cell>
          <cell r="H72">
            <v>1</v>
          </cell>
        </row>
        <row r="73">
          <cell r="B73" t="str">
            <v>Masked Person 66</v>
          </cell>
          <cell r="C73" t="str">
            <v>Intern (CS) (IN1)</v>
          </cell>
          <cell r="D73">
            <v>40</v>
          </cell>
          <cell r="E73">
            <v>0</v>
          </cell>
          <cell r="F73">
            <v>40</v>
          </cell>
          <cell r="G73">
            <v>0</v>
          </cell>
          <cell r="H73">
            <v>0</v>
          </cell>
        </row>
        <row r="74">
          <cell r="B74" t="str">
            <v>Masked Person 67</v>
          </cell>
          <cell r="C74" t="str">
            <v>Intern (CS) (IN1)</v>
          </cell>
          <cell r="D74">
            <v>40</v>
          </cell>
          <cell r="E74">
            <v>0</v>
          </cell>
          <cell r="F74">
            <v>40</v>
          </cell>
          <cell r="G74">
            <v>40</v>
          </cell>
          <cell r="H74">
            <v>1</v>
          </cell>
        </row>
        <row r="75">
          <cell r="B75" t="str">
            <v>Masked Person 90</v>
          </cell>
          <cell r="C75" t="str">
            <v>Intern (CS) (IN1)</v>
          </cell>
          <cell r="D75">
            <v>40</v>
          </cell>
          <cell r="E75">
            <v>0</v>
          </cell>
          <cell r="F75">
            <v>40</v>
          </cell>
          <cell r="G75">
            <v>40</v>
          </cell>
          <cell r="H75">
            <v>1</v>
          </cell>
        </row>
        <row r="76">
          <cell r="B76" t="str">
            <v>Masked Person 93</v>
          </cell>
          <cell r="C76" t="str">
            <v>Intern (CS) (IN1)</v>
          </cell>
          <cell r="D76">
            <v>40</v>
          </cell>
          <cell r="E76">
            <v>0</v>
          </cell>
          <cell r="F76">
            <v>40</v>
          </cell>
          <cell r="G76">
            <v>40</v>
          </cell>
          <cell r="H76">
            <v>1</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I &amp; Data"/>
    </sheetNames>
    <sheetDataSet>
      <sheetData sheetId="0" refreshError="1">
        <row r="1">
          <cell r="B1" t="str">
            <v>AI and Data</v>
          </cell>
        </row>
        <row r="2">
          <cell r="B2" t="str">
            <v>Active</v>
          </cell>
        </row>
        <row r="3">
          <cell r="E3" t="str">
            <v>AugW2 WTD Utilisation</v>
          </cell>
        </row>
        <row r="5">
          <cell r="B5" t="str">
            <v>Employee Name</v>
          </cell>
          <cell r="C5" t="str">
            <v>Rank</v>
          </cell>
          <cell r="D5" t="str">
            <v>Standard Hours</v>
          </cell>
          <cell r="E5" t="str">
            <v>Non-Chargeable Total</v>
          </cell>
          <cell r="F5" t="str">
            <v>WTD Effective Available Hours</v>
          </cell>
          <cell r="G5" t="str">
            <v>WTD Charged Hours</v>
          </cell>
          <cell r="H5" t="str">
            <v>WTD Effective Utilization</v>
          </cell>
        </row>
        <row r="6">
          <cell r="B6" t="str">
            <v>Masked Person 16</v>
          </cell>
          <cell r="C6" t="str">
            <v>Senior Manager (SM2)</v>
          </cell>
          <cell r="D6">
            <v>40</v>
          </cell>
          <cell r="E6">
            <v>12</v>
          </cell>
          <cell r="F6">
            <v>28</v>
          </cell>
          <cell r="G6">
            <v>0</v>
          </cell>
          <cell r="H6">
            <v>0</v>
          </cell>
        </row>
        <row r="7">
          <cell r="B7" t="str">
            <v>Masked Person 17</v>
          </cell>
          <cell r="C7" t="str">
            <v>Senior Manager (SM2)</v>
          </cell>
          <cell r="D7">
            <v>40</v>
          </cell>
          <cell r="E7">
            <v>0</v>
          </cell>
          <cell r="F7">
            <v>40</v>
          </cell>
          <cell r="G7">
            <v>0</v>
          </cell>
          <cell r="H7">
            <v>0</v>
          </cell>
        </row>
        <row r="8">
          <cell r="B8" t="str">
            <v>Masked Person 29</v>
          </cell>
          <cell r="C8" t="str">
            <v>Senior Manager (SM2)</v>
          </cell>
          <cell r="D8">
            <v>40</v>
          </cell>
          <cell r="E8">
            <v>8</v>
          </cell>
          <cell r="F8">
            <v>32</v>
          </cell>
          <cell r="G8">
            <v>0</v>
          </cell>
          <cell r="H8">
            <v>0</v>
          </cell>
        </row>
        <row r="9">
          <cell r="B9" t="str">
            <v>Masked Person 37</v>
          </cell>
          <cell r="C9" t="str">
            <v>Senior Manager (SM2)</v>
          </cell>
          <cell r="D9">
            <v>40</v>
          </cell>
          <cell r="E9">
            <v>0</v>
          </cell>
          <cell r="F9">
            <v>40</v>
          </cell>
          <cell r="G9">
            <v>0</v>
          </cell>
          <cell r="H9">
            <v>0</v>
          </cell>
        </row>
        <row r="10">
          <cell r="B10" t="str">
            <v>Masked Person 40</v>
          </cell>
          <cell r="C10" t="str">
            <v>Senior Manager (SM2)</v>
          </cell>
          <cell r="D10">
            <v>40</v>
          </cell>
          <cell r="E10">
            <v>0</v>
          </cell>
          <cell r="F10">
            <v>40</v>
          </cell>
          <cell r="G10">
            <v>-33.5</v>
          </cell>
          <cell r="H10">
            <v>-0.83750000000000002</v>
          </cell>
        </row>
        <row r="11">
          <cell r="B11" t="str">
            <v>Masked Person 61</v>
          </cell>
          <cell r="C11" t="str">
            <v>Senior Manager (SM2)</v>
          </cell>
          <cell r="D11">
            <v>40</v>
          </cell>
          <cell r="E11">
            <v>0</v>
          </cell>
          <cell r="F11">
            <v>40</v>
          </cell>
          <cell r="G11">
            <v>0</v>
          </cell>
          <cell r="H11">
            <v>0</v>
          </cell>
        </row>
        <row r="12">
          <cell r="B12" t="str">
            <v>Masked Person 1</v>
          </cell>
          <cell r="C12" t="str">
            <v>Senior Manager (SM1)</v>
          </cell>
          <cell r="D12">
            <v>40</v>
          </cell>
          <cell r="E12">
            <v>0</v>
          </cell>
          <cell r="F12">
            <v>40</v>
          </cell>
          <cell r="G12">
            <v>24</v>
          </cell>
          <cell r="H12">
            <v>0.6</v>
          </cell>
        </row>
        <row r="13">
          <cell r="B13" t="str">
            <v>Masked Person 11</v>
          </cell>
          <cell r="C13" t="str">
            <v>Senior Manager (SM1)</v>
          </cell>
          <cell r="D13">
            <v>40</v>
          </cell>
          <cell r="E13">
            <v>0</v>
          </cell>
          <cell r="F13">
            <v>40</v>
          </cell>
          <cell r="G13">
            <v>44</v>
          </cell>
          <cell r="H13">
            <v>1.1000000000000001</v>
          </cell>
        </row>
        <row r="14">
          <cell r="B14" t="str">
            <v>Masked Person 13</v>
          </cell>
          <cell r="C14" t="str">
            <v>Senior Manager (SM1)</v>
          </cell>
          <cell r="D14">
            <v>40</v>
          </cell>
          <cell r="E14">
            <v>8</v>
          </cell>
          <cell r="F14">
            <v>32</v>
          </cell>
          <cell r="G14">
            <v>24</v>
          </cell>
          <cell r="H14">
            <v>0.75</v>
          </cell>
        </row>
        <row r="15">
          <cell r="B15" t="str">
            <v>Masked Person 69</v>
          </cell>
          <cell r="C15" t="str">
            <v>Senior Manager (SM1)</v>
          </cell>
          <cell r="D15">
            <v>40</v>
          </cell>
          <cell r="E15">
            <v>0</v>
          </cell>
          <cell r="F15">
            <v>40</v>
          </cell>
          <cell r="G15">
            <v>24</v>
          </cell>
          <cell r="H15">
            <v>0.6</v>
          </cell>
        </row>
        <row r="16">
          <cell r="B16" t="str">
            <v>Masked Person 7</v>
          </cell>
          <cell r="C16" t="str">
            <v>Manager (MG1)</v>
          </cell>
          <cell r="D16">
            <v>40</v>
          </cell>
          <cell r="E16">
            <v>40</v>
          </cell>
          <cell r="F16">
            <v>0</v>
          </cell>
          <cell r="G16">
            <v>0</v>
          </cell>
          <cell r="H16">
            <v>0</v>
          </cell>
        </row>
        <row r="17">
          <cell r="B17" t="str">
            <v>Masked Person 20</v>
          </cell>
          <cell r="C17" t="str">
            <v>Manager (MG1)</v>
          </cell>
          <cell r="D17">
            <v>40</v>
          </cell>
          <cell r="E17">
            <v>0</v>
          </cell>
          <cell r="F17">
            <v>40</v>
          </cell>
          <cell r="G17">
            <v>40</v>
          </cell>
          <cell r="H17">
            <v>1</v>
          </cell>
        </row>
        <row r="18">
          <cell r="B18" t="str">
            <v>Masked Person 25</v>
          </cell>
          <cell r="C18" t="str">
            <v>Manager (MG1)</v>
          </cell>
          <cell r="D18">
            <v>40</v>
          </cell>
          <cell r="E18">
            <v>0</v>
          </cell>
          <cell r="F18">
            <v>40</v>
          </cell>
          <cell r="G18">
            <v>0</v>
          </cell>
          <cell r="H18">
            <v>0</v>
          </cell>
        </row>
        <row r="19">
          <cell r="B19" t="str">
            <v>Masked Person 27</v>
          </cell>
          <cell r="C19" t="str">
            <v>Manager (MG1)</v>
          </cell>
          <cell r="D19">
            <v>40</v>
          </cell>
          <cell r="E19">
            <v>0</v>
          </cell>
          <cell r="F19">
            <v>40</v>
          </cell>
          <cell r="G19">
            <v>64</v>
          </cell>
          <cell r="H19">
            <v>1.6</v>
          </cell>
        </row>
        <row r="20">
          <cell r="B20" t="str">
            <v>Masked Person 55</v>
          </cell>
          <cell r="C20" t="str">
            <v>Manager (MG1)</v>
          </cell>
          <cell r="D20">
            <v>40</v>
          </cell>
          <cell r="E20">
            <v>0</v>
          </cell>
          <cell r="F20">
            <v>40</v>
          </cell>
          <cell r="G20">
            <v>0</v>
          </cell>
          <cell r="H20">
            <v>0</v>
          </cell>
        </row>
        <row r="21">
          <cell r="B21" t="str">
            <v>Masked Person 57</v>
          </cell>
          <cell r="C21" t="str">
            <v>Manager (MG1)</v>
          </cell>
          <cell r="D21">
            <v>40</v>
          </cell>
          <cell r="E21">
            <v>0</v>
          </cell>
          <cell r="F21">
            <v>40</v>
          </cell>
          <cell r="G21">
            <v>40</v>
          </cell>
          <cell r="H21">
            <v>1</v>
          </cell>
        </row>
        <row r="22">
          <cell r="B22" t="str">
            <v>Masked Person 60</v>
          </cell>
          <cell r="C22" t="str">
            <v>Manager (MG1)</v>
          </cell>
          <cell r="D22">
            <v>40</v>
          </cell>
          <cell r="E22">
            <v>0</v>
          </cell>
          <cell r="F22">
            <v>40</v>
          </cell>
          <cell r="G22">
            <v>40</v>
          </cell>
          <cell r="H22">
            <v>1</v>
          </cell>
        </row>
        <row r="23">
          <cell r="B23" t="str">
            <v>Masked Person 68</v>
          </cell>
          <cell r="C23" t="str">
            <v>Manager (MG1)</v>
          </cell>
          <cell r="D23">
            <v>40</v>
          </cell>
          <cell r="E23">
            <v>0</v>
          </cell>
          <cell r="F23">
            <v>40</v>
          </cell>
          <cell r="G23">
            <v>-78</v>
          </cell>
          <cell r="H23">
            <v>-1.95</v>
          </cell>
        </row>
        <row r="24">
          <cell r="B24" t="str">
            <v>Masked Person 83</v>
          </cell>
          <cell r="C24" t="str">
            <v>Manager (MG1)</v>
          </cell>
          <cell r="D24">
            <v>40</v>
          </cell>
          <cell r="E24">
            <v>0</v>
          </cell>
          <cell r="F24">
            <v>40</v>
          </cell>
          <cell r="G24">
            <v>0</v>
          </cell>
          <cell r="H24">
            <v>0</v>
          </cell>
        </row>
        <row r="25">
          <cell r="B25" t="str">
            <v>Masked Person 96</v>
          </cell>
          <cell r="C25" t="str">
            <v>Manager (MG1)</v>
          </cell>
          <cell r="D25">
            <v>40</v>
          </cell>
          <cell r="E25">
            <v>0</v>
          </cell>
          <cell r="F25">
            <v>40</v>
          </cell>
          <cell r="G25">
            <v>40</v>
          </cell>
          <cell r="H25">
            <v>1</v>
          </cell>
        </row>
        <row r="26">
          <cell r="B26" t="str">
            <v>Masked Person 3</v>
          </cell>
          <cell r="C26" t="str">
            <v>Senior (SN3)</v>
          </cell>
          <cell r="D26">
            <v>40</v>
          </cell>
          <cell r="E26">
            <v>0</v>
          </cell>
          <cell r="F26">
            <v>40</v>
          </cell>
          <cell r="G26">
            <v>40</v>
          </cell>
          <cell r="H26">
            <v>1</v>
          </cell>
        </row>
        <row r="27">
          <cell r="B27" t="str">
            <v>Masked Person 6</v>
          </cell>
          <cell r="C27" t="str">
            <v>Senior (SN3)</v>
          </cell>
          <cell r="D27">
            <v>40</v>
          </cell>
          <cell r="E27">
            <v>8</v>
          </cell>
          <cell r="F27">
            <v>32</v>
          </cell>
          <cell r="G27">
            <v>16</v>
          </cell>
          <cell r="H27">
            <v>0.5</v>
          </cell>
        </row>
        <row r="28">
          <cell r="B28" t="str">
            <v>Masked Person 26</v>
          </cell>
          <cell r="C28" t="str">
            <v>Senior (SN3)</v>
          </cell>
          <cell r="D28">
            <v>40</v>
          </cell>
          <cell r="E28">
            <v>0</v>
          </cell>
          <cell r="F28">
            <v>40</v>
          </cell>
          <cell r="G28">
            <v>88</v>
          </cell>
          <cell r="H28">
            <v>2.2000000000000002</v>
          </cell>
        </row>
        <row r="29">
          <cell r="B29" t="str">
            <v>Masked Person 30</v>
          </cell>
          <cell r="C29" t="str">
            <v>Senior (SN3)</v>
          </cell>
          <cell r="D29">
            <v>40</v>
          </cell>
          <cell r="E29">
            <v>0</v>
          </cell>
          <cell r="F29">
            <v>40</v>
          </cell>
          <cell r="G29">
            <v>0</v>
          </cell>
          <cell r="H29">
            <v>0</v>
          </cell>
        </row>
        <row r="30">
          <cell r="B30" t="str">
            <v>Masked Person 46</v>
          </cell>
          <cell r="C30" t="str">
            <v>Senior (SN3)</v>
          </cell>
          <cell r="D30">
            <v>40</v>
          </cell>
          <cell r="E30">
            <v>8</v>
          </cell>
          <cell r="F30">
            <v>32</v>
          </cell>
          <cell r="G30">
            <v>36</v>
          </cell>
          <cell r="H30">
            <v>1.125</v>
          </cell>
        </row>
        <row r="31">
          <cell r="B31" t="str">
            <v>Masked Person 50</v>
          </cell>
          <cell r="C31" t="str">
            <v>Senior (SN3)</v>
          </cell>
          <cell r="D31">
            <v>40</v>
          </cell>
          <cell r="E31">
            <v>0</v>
          </cell>
          <cell r="F31">
            <v>40</v>
          </cell>
          <cell r="G31">
            <v>0</v>
          </cell>
          <cell r="H31">
            <v>0</v>
          </cell>
        </row>
        <row r="32">
          <cell r="B32" t="str">
            <v>Masked Person 79</v>
          </cell>
          <cell r="C32" t="str">
            <v>Senior (SN3)</v>
          </cell>
          <cell r="D32">
            <v>40</v>
          </cell>
          <cell r="E32">
            <v>0</v>
          </cell>
          <cell r="F32">
            <v>40</v>
          </cell>
          <cell r="G32">
            <v>40</v>
          </cell>
          <cell r="H32">
            <v>1</v>
          </cell>
        </row>
        <row r="33">
          <cell r="B33" t="str">
            <v>Masked Person 8</v>
          </cell>
          <cell r="C33" t="str">
            <v>Senior (SN2)</v>
          </cell>
          <cell r="D33">
            <v>40</v>
          </cell>
          <cell r="E33">
            <v>0</v>
          </cell>
          <cell r="F33">
            <v>40</v>
          </cell>
          <cell r="G33">
            <v>40</v>
          </cell>
          <cell r="H33">
            <v>1</v>
          </cell>
        </row>
        <row r="34">
          <cell r="B34" t="str">
            <v>Masked Person 12</v>
          </cell>
          <cell r="C34" t="str">
            <v>Senior (SN2)</v>
          </cell>
          <cell r="D34">
            <v>40</v>
          </cell>
          <cell r="E34">
            <v>0</v>
          </cell>
          <cell r="F34">
            <v>40</v>
          </cell>
          <cell r="G34">
            <v>0</v>
          </cell>
          <cell r="H34">
            <v>0</v>
          </cell>
        </row>
        <row r="35">
          <cell r="B35" t="str">
            <v>Masked Person 33</v>
          </cell>
          <cell r="C35" t="str">
            <v>Senior (SN2)</v>
          </cell>
          <cell r="D35">
            <v>40</v>
          </cell>
          <cell r="E35">
            <v>0</v>
          </cell>
          <cell r="F35">
            <v>40</v>
          </cell>
          <cell r="G35">
            <v>45</v>
          </cell>
          <cell r="H35">
            <v>1.125</v>
          </cell>
        </row>
        <row r="36">
          <cell r="B36" t="str">
            <v>Masked Person 35</v>
          </cell>
          <cell r="C36" t="str">
            <v>Senior (SN2)</v>
          </cell>
          <cell r="D36">
            <v>40</v>
          </cell>
          <cell r="E36">
            <v>0</v>
          </cell>
          <cell r="F36">
            <v>40</v>
          </cell>
          <cell r="G36">
            <v>-80</v>
          </cell>
          <cell r="H36">
            <v>-2</v>
          </cell>
        </row>
        <row r="37">
          <cell r="B37" t="str">
            <v>Masked Person 73</v>
          </cell>
          <cell r="C37" t="str">
            <v>Senior (SN2)</v>
          </cell>
          <cell r="D37">
            <v>40</v>
          </cell>
          <cell r="E37">
            <v>0</v>
          </cell>
          <cell r="F37">
            <v>40</v>
          </cell>
          <cell r="G37">
            <v>40</v>
          </cell>
          <cell r="H37">
            <v>1</v>
          </cell>
        </row>
        <row r="38">
          <cell r="B38" t="str">
            <v>Masked Person 4</v>
          </cell>
          <cell r="C38" t="str">
            <v>Senior (SN1)</v>
          </cell>
          <cell r="D38">
            <v>40</v>
          </cell>
          <cell r="E38">
            <v>0</v>
          </cell>
          <cell r="F38">
            <v>40</v>
          </cell>
          <cell r="G38">
            <v>40</v>
          </cell>
          <cell r="H38">
            <v>1</v>
          </cell>
        </row>
        <row r="39">
          <cell r="B39" t="str">
            <v>Masked Person 5</v>
          </cell>
          <cell r="C39" t="str">
            <v>Senior (SN1)</v>
          </cell>
          <cell r="D39">
            <v>40</v>
          </cell>
          <cell r="E39">
            <v>0</v>
          </cell>
          <cell r="F39">
            <v>40</v>
          </cell>
          <cell r="G39">
            <v>0</v>
          </cell>
          <cell r="H39">
            <v>0</v>
          </cell>
        </row>
        <row r="40">
          <cell r="B40" t="str">
            <v>Masked Person 22</v>
          </cell>
          <cell r="C40" t="str">
            <v>Senior (SN1)</v>
          </cell>
          <cell r="D40">
            <v>40</v>
          </cell>
          <cell r="E40">
            <v>0</v>
          </cell>
          <cell r="F40">
            <v>40</v>
          </cell>
          <cell r="G40">
            <v>40</v>
          </cell>
          <cell r="H40">
            <v>1</v>
          </cell>
        </row>
        <row r="41">
          <cell r="B41" t="str">
            <v>Masked Person 39</v>
          </cell>
          <cell r="C41" t="str">
            <v>Senior (SN1)</v>
          </cell>
          <cell r="D41">
            <v>40</v>
          </cell>
          <cell r="E41">
            <v>0</v>
          </cell>
          <cell r="F41">
            <v>40</v>
          </cell>
          <cell r="G41">
            <v>40</v>
          </cell>
          <cell r="H41">
            <v>1</v>
          </cell>
        </row>
        <row r="42">
          <cell r="B42" t="str">
            <v>Masked Person 53</v>
          </cell>
          <cell r="C42" t="str">
            <v>Senior (SN1)</v>
          </cell>
          <cell r="D42">
            <v>40</v>
          </cell>
          <cell r="E42">
            <v>9</v>
          </cell>
          <cell r="F42">
            <v>31</v>
          </cell>
          <cell r="G42">
            <v>41</v>
          </cell>
          <cell r="H42">
            <v>1.32258064516129</v>
          </cell>
        </row>
        <row r="43">
          <cell r="B43" t="str">
            <v>Masked Person 95</v>
          </cell>
          <cell r="C43" t="str">
            <v>Senior (SN1)</v>
          </cell>
          <cell r="D43">
            <v>40</v>
          </cell>
          <cell r="E43">
            <v>0</v>
          </cell>
          <cell r="F43">
            <v>40</v>
          </cell>
          <cell r="G43">
            <v>45</v>
          </cell>
          <cell r="H43">
            <v>1.125</v>
          </cell>
        </row>
        <row r="44">
          <cell r="B44" t="str">
            <v>Masked Person 71</v>
          </cell>
          <cell r="C44" t="str">
            <v>Senior (SN1)</v>
          </cell>
          <cell r="D44">
            <v>40</v>
          </cell>
          <cell r="E44">
            <v>0</v>
          </cell>
          <cell r="F44">
            <v>40</v>
          </cell>
          <cell r="G44">
            <v>45</v>
          </cell>
          <cell r="H44">
            <v>1.125</v>
          </cell>
        </row>
        <row r="45">
          <cell r="B45" t="str">
            <v>Masked Person 9</v>
          </cell>
          <cell r="C45" t="str">
            <v>Staff (ST1)</v>
          </cell>
          <cell r="D45">
            <v>40</v>
          </cell>
          <cell r="E45">
            <v>0</v>
          </cell>
          <cell r="F45">
            <v>40</v>
          </cell>
          <cell r="G45">
            <v>40</v>
          </cell>
          <cell r="H45">
            <v>1</v>
          </cell>
        </row>
        <row r="46">
          <cell r="B46" t="str">
            <v>Masked Person 18</v>
          </cell>
          <cell r="C46" t="str">
            <v>Staff (ST1)</v>
          </cell>
          <cell r="D46">
            <v>40</v>
          </cell>
          <cell r="E46">
            <v>0</v>
          </cell>
          <cell r="F46">
            <v>40</v>
          </cell>
          <cell r="G46">
            <v>40</v>
          </cell>
          <cell r="H46">
            <v>1</v>
          </cell>
        </row>
        <row r="47">
          <cell r="B47" t="str">
            <v>Masked Person 28</v>
          </cell>
          <cell r="C47" t="str">
            <v>Staff (ST1)</v>
          </cell>
          <cell r="D47">
            <v>40</v>
          </cell>
          <cell r="E47">
            <v>0</v>
          </cell>
          <cell r="F47">
            <v>40</v>
          </cell>
          <cell r="G47">
            <v>40</v>
          </cell>
          <cell r="H47">
            <v>1</v>
          </cell>
        </row>
        <row r="48">
          <cell r="B48" t="str">
            <v>Masked Person 31</v>
          </cell>
          <cell r="C48" t="str">
            <v>Staff (ST1)</v>
          </cell>
          <cell r="D48">
            <v>40</v>
          </cell>
          <cell r="E48">
            <v>8</v>
          </cell>
          <cell r="F48">
            <v>32</v>
          </cell>
          <cell r="G48">
            <v>41</v>
          </cell>
          <cell r="H48">
            <v>1.28125</v>
          </cell>
        </row>
        <row r="49">
          <cell r="B49" t="str">
            <v>Masked Person 32</v>
          </cell>
          <cell r="C49" t="str">
            <v>Staff (ST1)</v>
          </cell>
          <cell r="D49">
            <v>40</v>
          </cell>
          <cell r="E49">
            <v>0</v>
          </cell>
          <cell r="F49">
            <v>40</v>
          </cell>
          <cell r="G49">
            <v>0</v>
          </cell>
          <cell r="H49">
            <v>0</v>
          </cell>
        </row>
        <row r="50">
          <cell r="B50" t="str">
            <v>Masked Person 34</v>
          </cell>
          <cell r="C50" t="str">
            <v>Staff (ST1)</v>
          </cell>
          <cell r="D50">
            <v>40</v>
          </cell>
          <cell r="E50">
            <v>0</v>
          </cell>
          <cell r="F50">
            <v>40</v>
          </cell>
          <cell r="G50">
            <v>40</v>
          </cell>
          <cell r="H50">
            <v>1</v>
          </cell>
        </row>
        <row r="51">
          <cell r="B51" t="str">
            <v>Masked Person 38</v>
          </cell>
          <cell r="C51" t="str">
            <v>Staff (ST1)</v>
          </cell>
          <cell r="D51">
            <v>40</v>
          </cell>
          <cell r="E51">
            <v>4</v>
          </cell>
          <cell r="F51">
            <v>36</v>
          </cell>
          <cell r="G51">
            <v>0</v>
          </cell>
          <cell r="H51">
            <v>0</v>
          </cell>
        </row>
        <row r="52">
          <cell r="B52" t="str">
            <v>Masked Person 47</v>
          </cell>
          <cell r="C52" t="str">
            <v>Staff (ST1)</v>
          </cell>
          <cell r="D52">
            <v>40</v>
          </cell>
          <cell r="E52">
            <v>0</v>
          </cell>
          <cell r="F52">
            <v>40</v>
          </cell>
          <cell r="G52">
            <v>0</v>
          </cell>
          <cell r="H52">
            <v>0</v>
          </cell>
        </row>
        <row r="53">
          <cell r="B53" t="str">
            <v>Masked Person 52</v>
          </cell>
          <cell r="C53" t="str">
            <v>Staff (ST1)</v>
          </cell>
          <cell r="D53">
            <v>40</v>
          </cell>
          <cell r="E53">
            <v>0</v>
          </cell>
          <cell r="F53">
            <v>40</v>
          </cell>
          <cell r="G53">
            <v>0</v>
          </cell>
          <cell r="H53">
            <v>0</v>
          </cell>
        </row>
        <row r="54">
          <cell r="B54" t="str">
            <v>Masked Person 59</v>
          </cell>
          <cell r="C54" t="str">
            <v>Staff (ST1)</v>
          </cell>
          <cell r="D54">
            <v>40</v>
          </cell>
          <cell r="E54">
            <v>16</v>
          </cell>
          <cell r="F54">
            <v>24</v>
          </cell>
          <cell r="G54">
            <v>24</v>
          </cell>
          <cell r="H54">
            <v>1</v>
          </cell>
        </row>
        <row r="55">
          <cell r="B55" t="str">
            <v>Masked Person 63</v>
          </cell>
          <cell r="C55" t="str">
            <v>Staff (ST1)</v>
          </cell>
          <cell r="D55">
            <v>40</v>
          </cell>
          <cell r="E55">
            <v>0</v>
          </cell>
          <cell r="F55">
            <v>40</v>
          </cell>
          <cell r="G55">
            <v>0</v>
          </cell>
          <cell r="H55">
            <v>0</v>
          </cell>
        </row>
        <row r="56">
          <cell r="B56" t="str">
            <v>Masked Person 70</v>
          </cell>
          <cell r="C56" t="str">
            <v>Staff (ST1)</v>
          </cell>
          <cell r="D56">
            <v>40</v>
          </cell>
          <cell r="E56">
            <v>0</v>
          </cell>
          <cell r="F56">
            <v>40</v>
          </cell>
          <cell r="G56">
            <v>40</v>
          </cell>
          <cell r="H56">
            <v>1</v>
          </cell>
        </row>
        <row r="57">
          <cell r="B57" t="str">
            <v>Masked Person 72</v>
          </cell>
          <cell r="C57" t="str">
            <v>Staff (ST1)</v>
          </cell>
          <cell r="D57">
            <v>40</v>
          </cell>
          <cell r="E57">
            <v>0</v>
          </cell>
          <cell r="F57">
            <v>40</v>
          </cell>
          <cell r="G57">
            <v>40</v>
          </cell>
          <cell r="H57">
            <v>1</v>
          </cell>
        </row>
        <row r="58">
          <cell r="B58" t="str">
            <v>Masked Person 76</v>
          </cell>
          <cell r="C58" t="str">
            <v>Staff (ST1)</v>
          </cell>
          <cell r="D58">
            <v>40</v>
          </cell>
          <cell r="E58">
            <v>0</v>
          </cell>
          <cell r="F58">
            <v>40</v>
          </cell>
          <cell r="G58">
            <v>40</v>
          </cell>
          <cell r="H58">
            <v>1</v>
          </cell>
        </row>
        <row r="59">
          <cell r="B59" t="str">
            <v>Masked Person 78</v>
          </cell>
          <cell r="C59" t="str">
            <v>Staff (ST1)</v>
          </cell>
          <cell r="D59">
            <v>40</v>
          </cell>
          <cell r="E59">
            <v>0</v>
          </cell>
          <cell r="F59">
            <v>40</v>
          </cell>
          <cell r="G59">
            <v>0</v>
          </cell>
          <cell r="H59">
            <v>0</v>
          </cell>
        </row>
        <row r="60">
          <cell r="B60" t="str">
            <v>Masked Person 80</v>
          </cell>
          <cell r="C60" t="str">
            <v>Staff (ST1)</v>
          </cell>
          <cell r="D60">
            <v>40</v>
          </cell>
          <cell r="E60">
            <v>0</v>
          </cell>
          <cell r="F60">
            <v>40</v>
          </cell>
          <cell r="G60">
            <v>40</v>
          </cell>
          <cell r="H60">
            <v>1</v>
          </cell>
        </row>
        <row r="61">
          <cell r="B61" t="str">
            <v>Masked Person 81</v>
          </cell>
          <cell r="C61" t="str">
            <v>Staff (ST1)</v>
          </cell>
          <cell r="D61">
            <v>40</v>
          </cell>
          <cell r="E61">
            <v>0</v>
          </cell>
          <cell r="F61">
            <v>40</v>
          </cell>
          <cell r="G61">
            <v>45</v>
          </cell>
          <cell r="H61">
            <v>1.125</v>
          </cell>
        </row>
        <row r="62">
          <cell r="B62" t="str">
            <v>Masked Person 87</v>
          </cell>
          <cell r="C62" t="str">
            <v>Staff (ST1)</v>
          </cell>
          <cell r="D62">
            <v>40</v>
          </cell>
          <cell r="E62">
            <v>0</v>
          </cell>
          <cell r="F62">
            <v>40</v>
          </cell>
          <cell r="G62">
            <v>0</v>
          </cell>
          <cell r="H62">
            <v>0</v>
          </cell>
        </row>
        <row r="63">
          <cell r="B63" t="str">
            <v>Masked Person 89</v>
          </cell>
          <cell r="C63" t="str">
            <v>Staff (ST1)</v>
          </cell>
          <cell r="D63">
            <v>40</v>
          </cell>
          <cell r="E63">
            <v>8</v>
          </cell>
          <cell r="F63">
            <v>32</v>
          </cell>
          <cell r="G63">
            <v>72</v>
          </cell>
          <cell r="H63">
            <v>2.25</v>
          </cell>
        </row>
        <row r="64">
          <cell r="B64" t="str">
            <v>Masked Person 91</v>
          </cell>
          <cell r="C64" t="str">
            <v>Staff (ST1)</v>
          </cell>
          <cell r="D64">
            <v>40</v>
          </cell>
          <cell r="E64">
            <v>0</v>
          </cell>
          <cell r="F64">
            <v>40</v>
          </cell>
          <cell r="G64">
            <v>40</v>
          </cell>
          <cell r="H64">
            <v>1</v>
          </cell>
        </row>
        <row r="65">
          <cell r="B65" t="str">
            <v>Masked Person 92</v>
          </cell>
          <cell r="C65" t="str">
            <v>Staff (ST1)</v>
          </cell>
          <cell r="D65">
            <v>40</v>
          </cell>
          <cell r="E65">
            <v>0</v>
          </cell>
          <cell r="F65">
            <v>40</v>
          </cell>
          <cell r="G65">
            <v>40</v>
          </cell>
          <cell r="H65">
            <v>1</v>
          </cell>
        </row>
        <row r="66">
          <cell r="B66" t="str">
            <v>Masked Person 10</v>
          </cell>
          <cell r="C66" t="str">
            <v>Staff (ST1)</v>
          </cell>
          <cell r="D66">
            <v>40</v>
          </cell>
          <cell r="E66">
            <v>16</v>
          </cell>
          <cell r="F66">
            <v>24</v>
          </cell>
          <cell r="G66">
            <v>27</v>
          </cell>
          <cell r="H66">
            <v>1.125</v>
          </cell>
        </row>
        <row r="67">
          <cell r="B67" t="str">
            <v>Masked Person 15</v>
          </cell>
          <cell r="C67" t="str">
            <v>Intern (CS) (IN1)</v>
          </cell>
          <cell r="D67">
            <v>40</v>
          </cell>
          <cell r="E67">
            <v>0</v>
          </cell>
          <cell r="F67">
            <v>40</v>
          </cell>
          <cell r="G67">
            <v>40</v>
          </cell>
          <cell r="H67">
            <v>1</v>
          </cell>
        </row>
        <row r="68">
          <cell r="B68" t="str">
            <v>Masked Person 19</v>
          </cell>
          <cell r="C68" t="str">
            <v>Intern (CS) (IN1)</v>
          </cell>
          <cell r="D68">
            <v>40</v>
          </cell>
          <cell r="E68">
            <v>0</v>
          </cell>
          <cell r="F68">
            <v>40</v>
          </cell>
          <cell r="G68">
            <v>0</v>
          </cell>
          <cell r="H68">
            <v>0</v>
          </cell>
        </row>
        <row r="69">
          <cell r="B69" t="str">
            <v>Masked Person 41</v>
          </cell>
          <cell r="C69" t="str">
            <v>Intern (CS) (IN1)</v>
          </cell>
          <cell r="D69">
            <v>40</v>
          </cell>
          <cell r="E69">
            <v>0</v>
          </cell>
          <cell r="F69">
            <v>40</v>
          </cell>
          <cell r="G69">
            <v>40</v>
          </cell>
          <cell r="H69">
            <v>1</v>
          </cell>
        </row>
        <row r="70">
          <cell r="B70" t="str">
            <v>Masked Person 44</v>
          </cell>
          <cell r="C70" t="str">
            <v>Intern (CS) (IN1)</v>
          </cell>
          <cell r="D70">
            <v>40</v>
          </cell>
          <cell r="E70">
            <v>24</v>
          </cell>
          <cell r="F70">
            <v>16</v>
          </cell>
          <cell r="G70">
            <v>0</v>
          </cell>
          <cell r="H70">
            <v>0</v>
          </cell>
        </row>
        <row r="71">
          <cell r="B71" t="str">
            <v>Masked Person 45</v>
          </cell>
          <cell r="C71" t="str">
            <v>Intern (CS) (IN1)</v>
          </cell>
          <cell r="D71">
            <v>40</v>
          </cell>
          <cell r="E71">
            <v>0</v>
          </cell>
          <cell r="F71">
            <v>40</v>
          </cell>
          <cell r="G71">
            <v>0</v>
          </cell>
          <cell r="H71">
            <v>0</v>
          </cell>
        </row>
        <row r="72">
          <cell r="B72" t="str">
            <v>Masked Person 49</v>
          </cell>
          <cell r="C72" t="str">
            <v>Intern (CS) (IN1)</v>
          </cell>
          <cell r="D72">
            <v>40</v>
          </cell>
          <cell r="E72">
            <v>24</v>
          </cell>
          <cell r="F72">
            <v>16</v>
          </cell>
          <cell r="G72">
            <v>111</v>
          </cell>
          <cell r="H72">
            <v>6.9375</v>
          </cell>
        </row>
        <row r="73">
          <cell r="B73" t="str">
            <v>Masked Person 64</v>
          </cell>
          <cell r="C73" t="str">
            <v>Intern (CS) (IN1)</v>
          </cell>
          <cell r="D73">
            <v>40</v>
          </cell>
          <cell r="E73">
            <v>0</v>
          </cell>
          <cell r="F73">
            <v>40</v>
          </cell>
          <cell r="G73">
            <v>41</v>
          </cell>
          <cell r="H73">
            <v>1.0249999999999999</v>
          </cell>
        </row>
        <row r="74">
          <cell r="B74" t="str">
            <v>Masked Person 66</v>
          </cell>
          <cell r="C74" t="str">
            <v>Intern (CS) (IN1)</v>
          </cell>
          <cell r="D74">
            <v>40</v>
          </cell>
          <cell r="E74">
            <v>0</v>
          </cell>
          <cell r="F74">
            <v>40</v>
          </cell>
          <cell r="G74">
            <v>0</v>
          </cell>
          <cell r="H74">
            <v>0</v>
          </cell>
        </row>
        <row r="75">
          <cell r="B75" t="str">
            <v>Masked Person 67</v>
          </cell>
          <cell r="C75" t="str">
            <v>Intern (CS) (IN1)</v>
          </cell>
          <cell r="D75">
            <v>40</v>
          </cell>
          <cell r="E75">
            <v>0</v>
          </cell>
          <cell r="F75">
            <v>40</v>
          </cell>
          <cell r="G75">
            <v>40</v>
          </cell>
          <cell r="H75">
            <v>1</v>
          </cell>
        </row>
        <row r="76">
          <cell r="B76" t="str">
            <v>Masked Person 90</v>
          </cell>
          <cell r="C76" t="str">
            <v>Intern (CS) (IN1)</v>
          </cell>
          <cell r="D76">
            <v>40</v>
          </cell>
          <cell r="E76">
            <v>0</v>
          </cell>
          <cell r="F76">
            <v>40</v>
          </cell>
          <cell r="G76">
            <v>40</v>
          </cell>
          <cell r="H76">
            <v>1</v>
          </cell>
        </row>
        <row r="77">
          <cell r="B77" t="str">
            <v>Masked Person 93</v>
          </cell>
          <cell r="C77" t="str">
            <v>Intern (CS) (IN1)</v>
          </cell>
          <cell r="D77">
            <v>40</v>
          </cell>
          <cell r="E77">
            <v>0</v>
          </cell>
          <cell r="F77">
            <v>40</v>
          </cell>
          <cell r="G77">
            <v>40</v>
          </cell>
          <cell r="H77">
            <v>1</v>
          </cell>
        </row>
      </sheetData>
    </sheetDataSet>
  </externalBook>
</externalLink>
</file>

<file path=xl/tables/table1.xml><?xml version="1.0" encoding="utf-8"?>
<table xmlns="http://schemas.openxmlformats.org/spreadsheetml/2006/main" id="1" name="Table14" displayName="Table14" ref="A1:F65" headerRowCount="1" totalsRowShown="0" headerRowDxfId="33" headerRowBorderDxfId="32">
  <sortState ref="A2:D65">
    <sortCondition ref="D1:D65"/>
  </sortState>
  <tableColumns count="6">
    <tableColumn id="1" name="ResourceName"/>
    <tableColumn id="4" name="Current Grade Order &amp; Description " dataDxfId="31"/>
    <tableColumn id="7" name="Counselor Name" dataDxfId="30"/>
    <tableColumn id="14" name="YTD Effective Utilisation" dataDxfId="29"/>
    <tableColumn id="22" name="Justification" dataDxfId="28"/>
    <tableColumn id="2" name="Column1"/>
  </tableColumns>
  <tableStyleInfo name="TableStyleMedium2" showFirstColumn="0" showLastColumn="0" showRowStripes="1" showColumnStripes="0"/>
</table>
</file>

<file path=xl/tables/table2.xml><?xml version="1.0" encoding="utf-8"?>
<table xmlns="http://schemas.openxmlformats.org/spreadsheetml/2006/main" id="2" name="Table143" displayName="Table143" ref="A1:G65" headerRowCount="1" totalsRowShown="0" headerRowDxfId="27" headerRowBorderDxfId="26">
  <sortState ref="A2:D65">
    <sortCondition ref="D1:D65"/>
  </sortState>
  <tableColumns count="7">
    <tableColumn id="1" name="ResourceName"/>
    <tableColumn id="4" name="Current Grade Order &amp; Description " dataDxfId="25"/>
    <tableColumn id="7" name="Counselor Name" dataDxfId="24"/>
    <tableColumn id="14" name="FY27 (3Weeks) WTD Effective Utilisation" dataDxfId="23"/>
    <tableColumn id="2" name="6 Months Forecast" dataDxfId="22"/>
    <tableColumn id="22" name="Remarks" dataDxfId="21"/>
    <tableColumn id="3" name="Column1"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codeName="Sheet1">
    <outlinePr summaryBelow="1" summaryRight="1"/>
    <pageSetUpPr/>
  </sheetPr>
  <dimension ref="A1:AN215"/>
  <sheetViews>
    <sheetView topLeftCell="A80" zoomScale="80" zoomScaleNormal="80" workbookViewId="0">
      <selection activeCell="B95" sqref="B95"/>
    </sheetView>
  </sheetViews>
  <sheetFormatPr baseColWidth="8" defaultColWidth="8.7265625" defaultRowHeight="14.5"/>
  <cols>
    <col width="29.453125" customWidth="1" style="350" min="1" max="1"/>
    <col width="21.81640625" customWidth="1" style="350" min="2" max="3"/>
    <col width="9.81640625" customWidth="1" style="350" min="4" max="4"/>
    <col width="10.81640625" customWidth="1" style="350" min="5" max="5"/>
    <col width="11.54296875" customWidth="1" style="350" min="6" max="6"/>
    <col width="7.7265625" customWidth="1" style="350" min="12" max="12"/>
    <col width="7.54296875" customWidth="1" style="350" min="13" max="13"/>
    <col width="47.1796875" customWidth="1" style="350" min="14" max="14"/>
    <col width="22.54296875" customWidth="1" style="350" min="15" max="15"/>
    <col width="29.54296875" customWidth="1" style="350" min="16" max="16"/>
    <col width="94.453125" customWidth="1" style="350" min="17" max="17"/>
    <col width="64.26953125" customWidth="1" style="350" min="18" max="18"/>
    <col width="43.7265625" customWidth="1" style="350" min="19" max="19"/>
    <col width="79.54296875" bestFit="1" customWidth="1" style="350" min="20" max="20"/>
    <col width="21.453125" bestFit="1" customWidth="1" style="350" min="21" max="21"/>
  </cols>
  <sheetData>
    <row r="1" ht="43.5" customFormat="1" customHeight="1" s="2">
      <c r="A1" s="3" t="inlineStr">
        <is>
          <t>Employee name</t>
        </is>
      </c>
      <c r="B1" s="3" t="inlineStr">
        <is>
          <t>Rank and Grade</t>
        </is>
      </c>
      <c r="C1" s="3" t="inlineStr">
        <is>
          <t>Bench Category Column</t>
        </is>
      </c>
      <c r="D1" s="3" t="inlineStr">
        <is>
          <t>6 Weeks Forecast</t>
        </is>
      </c>
      <c r="E1" s="3" t="inlineStr">
        <is>
          <t>12 Weeks Forecast</t>
        </is>
      </c>
      <c r="F1" s="3" t="inlineStr">
        <is>
          <t>Current Week Forecast</t>
        </is>
      </c>
      <c r="G1" s="3" t="inlineStr">
        <is>
          <t>WC 19 May 2026</t>
        </is>
      </c>
      <c r="H1" s="3" t="inlineStr">
        <is>
          <t>WC 26 May 2026</t>
        </is>
      </c>
      <c r="I1" s="3" t="inlineStr">
        <is>
          <t>WC 02 Jun 2026</t>
        </is>
      </c>
      <c r="J1" s="3" t="inlineStr">
        <is>
          <t>WC 09 Jun 2026</t>
        </is>
      </c>
      <c r="K1" s="3" t="inlineStr">
        <is>
          <t>WC 16 Jun 2026</t>
        </is>
      </c>
      <c r="L1" s="3" t="inlineStr">
        <is>
          <t>WC 23 Jun 2026</t>
        </is>
      </c>
      <c r="M1" s="3" t="inlineStr">
        <is>
          <t>WC 30 Jun 2026</t>
        </is>
      </c>
      <c r="N1" s="4" t="inlineStr">
        <is>
          <t>Allocation as of 18 May 2026</t>
        </is>
      </c>
      <c r="O1" s="5" t="inlineStr">
        <is>
          <t>Nationality</t>
        </is>
      </c>
      <c r="P1" s="5" t="inlineStr">
        <is>
          <t>Previous/Existing Project Roles</t>
        </is>
      </c>
      <c r="Q1" s="5" t="inlineStr">
        <is>
          <t>Primary Skillset (Platform)</t>
        </is>
      </c>
      <c r="R1" s="6" t="inlineStr">
        <is>
          <t>Secondary Skillset</t>
        </is>
      </c>
      <c r="S1" s="5" t="inlineStr">
        <is>
          <t>Aspiring roles</t>
        </is>
      </c>
      <c r="T1" s="7" t="inlineStr">
        <is>
          <t>Current Engagement</t>
        </is>
      </c>
      <c r="U1" s="7" t="inlineStr">
        <is>
          <t>EM</t>
        </is>
      </c>
    </row>
    <row r="2">
      <c r="A2" t="inlineStr">
        <is>
          <t>Masked Person 1</t>
        </is>
      </c>
      <c r="B2" t="inlineStr">
        <is>
          <t>Senior Manager 1</t>
        </is>
      </c>
      <c r="C2" s="1" t="inlineStr">
        <is>
          <t>Coming on bench in 4 week(s)</t>
        </is>
      </c>
      <c r="D2" s="1" t="n">
        <v>0.386667</v>
      </c>
      <c r="E2" s="1" t="n">
        <v>0.386649583333333</v>
      </c>
      <c r="F2" s="1" t="n">
        <v>0.386458</v>
      </c>
      <c r="G2" s="14" t="n">
        <v>0.386667</v>
      </c>
      <c r="H2" s="14" t="n">
        <v>0.386667</v>
      </c>
      <c r="I2" s="14" t="n">
        <v>0.386667</v>
      </c>
      <c r="J2" s="14" t="n">
        <v>0.386667</v>
      </c>
      <c r="K2" s="14" t="n">
        <v>0.386667</v>
      </c>
      <c r="L2" s="14" t="n">
        <v>0.386667</v>
      </c>
      <c r="M2" s="14" t="n">
        <v>0.386667</v>
      </c>
      <c r="N2" s="15" t="inlineStr">
        <is>
          <t>Jan - Dec 2026 - Client A 40%</t>
        </is>
      </c>
      <c r="O2" s="15" t="inlineStr">
        <is>
          <t>Singaporean</t>
        </is>
      </c>
      <c r="P2" s="15" t="n"/>
      <c r="Q2" s="15" t="n"/>
      <c r="R2" s="15" t="n"/>
      <c r="S2" s="15" t="n"/>
      <c r="T2" s="15" t="inlineStr">
        <is>
          <t>Client A - Platform A1 (GovCloud) - ENG-017</t>
        </is>
      </c>
      <c r="U2" s="15" t="inlineStr">
        <is>
          <t>Masked Person 1</t>
        </is>
      </c>
    </row>
    <row r="3" ht="29" customHeight="1" s="350">
      <c r="A3" t="inlineStr">
        <is>
          <t>Masked Person 2</t>
        </is>
      </c>
      <c r="B3" t="inlineStr">
        <is>
          <t>Intern (CS) 1</t>
        </is>
      </c>
      <c r="C3" s="1" t="inlineStr">
        <is>
          <t>Coming on bench in 9 week(s)</t>
        </is>
      </c>
      <c r="D3" s="1" t="n">
        <v>0</v>
      </c>
      <c r="E3" s="1" t="n">
        <v>0</v>
      </c>
      <c r="F3" s="1" t="n">
        <v>0</v>
      </c>
      <c r="G3" s="14" t="n">
        <v>0</v>
      </c>
      <c r="H3" s="14" t="n">
        <v>0</v>
      </c>
      <c r="I3" s="14" t="n">
        <v>0</v>
      </c>
      <c r="J3" s="14" t="n">
        <v>0</v>
      </c>
      <c r="K3" s="14" t="n">
        <v>0</v>
      </c>
      <c r="L3" s="14" t="n">
        <v>0</v>
      </c>
      <c r="M3" s="14" t="n">
        <v>0</v>
      </c>
      <c r="N3" s="21" t="inlineStr">
        <is>
          <t>May - Aug 2026 - Client G 100%
Internship until 7 Aug</t>
        </is>
      </c>
      <c r="O3" s="15" t="n"/>
      <c r="P3" s="15" t="n"/>
      <c r="Q3" s="15" t="inlineStr">
        <is>
          <t>Python, MySQL, C++, Javascript, Typescript</t>
        </is>
      </c>
      <c r="R3" s="15" t="inlineStr">
        <is>
          <t>PyTorch, Scikit-learn, SHAP, Model Optimization, Feature Engineering</t>
        </is>
      </c>
      <c r="S3" s="15" t="inlineStr">
        <is>
          <t>Software Developer / AI Engineer</t>
        </is>
      </c>
      <c r="T3" s="15" t="inlineStr">
        <is>
          <t>Client G S/4HANA Implementation - ENG-016</t>
        </is>
      </c>
      <c r="U3" t="inlineStr">
        <is>
          <t>Masked Person 37</t>
        </is>
      </c>
    </row>
    <row r="4">
      <c r="A4" t="inlineStr">
        <is>
          <t>Masked Person 3</t>
        </is>
      </c>
      <c r="B4" t="inlineStr">
        <is>
          <t>Senior 2</t>
        </is>
      </c>
      <c r="C4" s="1" t="inlineStr">
        <is>
          <t>Coming on bench in 4 week(s)</t>
        </is>
      </c>
      <c r="D4" s="1" t="n">
        <v>1</v>
      </c>
      <c r="E4" s="1" t="n">
        <v>1</v>
      </c>
      <c r="F4" s="1" t="n">
        <v>1</v>
      </c>
      <c r="G4" s="14" t="n">
        <v>1</v>
      </c>
      <c r="H4" s="14" t="n">
        <v>1</v>
      </c>
      <c r="I4" s="14" t="n">
        <v>1</v>
      </c>
      <c r="J4" s="14" t="n">
        <v>1</v>
      </c>
      <c r="K4" s="14" t="n">
        <v>1</v>
      </c>
      <c r="L4" s="14" t="n">
        <v>1</v>
      </c>
      <c r="M4" s="14" t="n">
        <v>1</v>
      </c>
      <c r="N4" s="15" t="inlineStr">
        <is>
          <t>Jan - Dec 2026 - Client A 100%</t>
        </is>
      </c>
      <c r="O4" s="15" t="inlineStr">
        <is>
          <t>Singaporean</t>
        </is>
      </c>
      <c r="P4" s="15" t="inlineStr">
        <is>
          <t>Data Engineer</t>
        </is>
      </c>
      <c r="Q4" s="8" t="inlineStr">
        <is>
          <t>Terraform, Python, Script</t>
        </is>
      </c>
      <c r="R4" s="15" t="inlineStr">
        <is>
          <t>GenAI Engineering</t>
        </is>
      </c>
      <c r="S4" s="15" t="inlineStr">
        <is>
          <t>GenAI Engineering</t>
        </is>
      </c>
      <c r="T4" s="15" t="inlineStr">
        <is>
          <t>Client A - Platform A1 Maintenance Phase 1 &amp;2 - ENG-003</t>
        </is>
      </c>
      <c r="U4" t="inlineStr">
        <is>
          <t>Masked Person 13</t>
        </is>
      </c>
    </row>
    <row r="5">
      <c r="A5" t="inlineStr">
        <is>
          <t>Masked Person 5</t>
        </is>
      </c>
      <c r="B5" t="inlineStr">
        <is>
          <t>Senior 1</t>
        </is>
      </c>
      <c r="C5" s="1" t="inlineStr">
        <is>
          <t>Coming on bench in 3 week(s)</t>
        </is>
      </c>
      <c r="D5" s="1" t="n">
        <v>0.5</v>
      </c>
      <c r="E5" s="1" t="n">
        <v>0.25</v>
      </c>
      <c r="F5" s="1" t="n">
        <v>1.25</v>
      </c>
      <c r="G5" s="14" t="n">
        <v>1</v>
      </c>
      <c r="H5" s="14" t="n">
        <v>1</v>
      </c>
      <c r="I5" s="14" t="n">
        <v>1</v>
      </c>
      <c r="J5" s="14" t="n">
        <v>0</v>
      </c>
      <c r="K5" s="14" t="n">
        <v>0</v>
      </c>
      <c r="L5" s="14" t="n">
        <v>0</v>
      </c>
      <c r="M5" s="14" t="n">
        <v>0</v>
      </c>
      <c r="N5" s="15" t="inlineStr">
        <is>
          <t>Jan - May 2026 - Client F 100%</t>
        </is>
      </c>
      <c r="O5" t="inlineStr">
        <is>
          <t>Singaporean</t>
        </is>
      </c>
      <c r="P5" s="15" t="inlineStr">
        <is>
          <t>Data Analyst</t>
        </is>
      </c>
      <c r="Q5" t="inlineStr">
        <is>
          <t>Qlik sense</t>
        </is>
      </c>
      <c r="R5" s="15" t="inlineStr">
        <is>
          <t>SQL</t>
        </is>
      </c>
      <c r="S5" s="15" t="inlineStr">
        <is>
          <t>AI and Analytics</t>
        </is>
      </c>
      <c r="T5" s="15" t="inlineStr">
        <is>
          <t>Client F - Project F1 - ENG-021</t>
        </is>
      </c>
      <c r="U5" s="15" t="n"/>
    </row>
    <row r="6" ht="29" customHeight="1" s="350">
      <c r="A6" t="inlineStr">
        <is>
          <t>Masked Person 6</t>
        </is>
      </c>
      <c r="B6" t="inlineStr">
        <is>
          <t>Senior 3</t>
        </is>
      </c>
      <c r="C6" s="1" t="inlineStr">
        <is>
          <t>Coming on bench in 4 week(s)</t>
        </is>
      </c>
      <c r="D6" s="1" t="n">
        <v>1</v>
      </c>
      <c r="E6" s="1" t="n">
        <v>0.666666666666667</v>
      </c>
      <c r="F6" s="1" t="n">
        <v>1</v>
      </c>
      <c r="G6" s="14" t="n">
        <v>1</v>
      </c>
      <c r="H6" s="14" t="n">
        <v>1</v>
      </c>
      <c r="I6" s="14" t="n">
        <v>1</v>
      </c>
      <c r="J6" s="14" t="n">
        <v>1</v>
      </c>
      <c r="K6" s="14" t="n">
        <v>1</v>
      </c>
      <c r="L6" s="14" t="n">
        <v>1</v>
      </c>
      <c r="M6" s="14" t="n">
        <v>1</v>
      </c>
      <c r="N6" s="16" t="inlineStr">
        <is>
          <t>Feb - Mid May 2026 - Client G 100%
Mid May - Mid Aug 2026 - Client L 100%</t>
        </is>
      </c>
      <c r="O6" s="15" t="inlineStr">
        <is>
          <t>Singaporean</t>
        </is>
      </c>
      <c r="P6" s="15" t="inlineStr">
        <is>
          <t>Business Analyst</t>
        </is>
      </c>
      <c r="Q6" s="15" t="inlineStr">
        <is>
          <t>Python, T-SQL, MySQL, Unix, PowerBI, QlikSense, Tableau, SQL Server, Power Automate, Excel, Powerpoint</t>
        </is>
      </c>
      <c r="R6" s="15" t="inlineStr">
        <is>
          <t>PySpark, Azure Snowflake, SSIS</t>
        </is>
      </c>
      <c r="S6" s="15" t="inlineStr">
        <is>
          <t>Project Manager</t>
        </is>
      </c>
      <c r="T6" s="15" t="inlineStr">
        <is>
          <t xml:space="preserve">	Client L Project L1</t>
        </is>
      </c>
      <c r="U6" t="inlineStr">
        <is>
          <t>Masked Person 37</t>
        </is>
      </c>
    </row>
    <row r="7">
      <c r="A7" t="inlineStr">
        <is>
          <t>Masked Person 7</t>
        </is>
      </c>
      <c r="B7" t="inlineStr">
        <is>
          <t>Manager 3</t>
        </is>
      </c>
      <c r="C7" s="1" t="inlineStr">
        <is>
          <t>Coming on bench in 4 week(s)</t>
        </is>
      </c>
      <c r="D7" s="1" t="n">
        <v>0.566666666666667</v>
      </c>
      <c r="E7" s="1" t="n">
        <v>0.283333333333333</v>
      </c>
      <c r="F7" s="1" t="n">
        <v>1</v>
      </c>
      <c r="G7" s="14" t="n">
        <v>1</v>
      </c>
      <c r="H7" s="14" t="n">
        <v>1</v>
      </c>
      <c r="I7" s="14" t="n">
        <v>1</v>
      </c>
      <c r="J7" s="14" t="n">
        <v>0.4</v>
      </c>
      <c r="K7" s="14" t="n">
        <v>0</v>
      </c>
      <c r="L7" s="14" t="n">
        <v>0</v>
      </c>
      <c r="M7" s="14" t="n">
        <v>0</v>
      </c>
      <c r="N7" s="15" t="inlineStr">
        <is>
          <t>Aug 26 - Client A</t>
        </is>
      </c>
      <c r="O7" s="15" t="inlineStr">
        <is>
          <t>PR (Malaysian)</t>
        </is>
      </c>
      <c r="P7" s="15" t="inlineStr">
        <is>
          <t>Data Engineer, Analyst</t>
        </is>
      </c>
      <c r="Q7" s="15" t="inlineStr">
        <is>
          <t>PostgreSQL, Microsoft SQL, SAS Viya, SAS 9.4, IBM Spectrum LSF, agile</t>
        </is>
      </c>
      <c r="R7" s="15" t="inlineStr">
        <is>
          <t>Linux, Power BI, scrum master</t>
        </is>
      </c>
      <c r="S7" s="15" t="inlineStr">
        <is>
          <t>AI Engineer and data scientist</t>
        </is>
      </c>
      <c r="T7" t="inlineStr">
        <is>
          <t>Client A - Platform A1 (GovCloud) - ENG-017</t>
        </is>
      </c>
      <c r="U7" s="15" t="inlineStr">
        <is>
          <t>Masked Person 1</t>
        </is>
      </c>
    </row>
    <row r="8">
      <c r="A8" t="inlineStr">
        <is>
          <t>Masked Person 8</t>
        </is>
      </c>
      <c r="B8" t="inlineStr">
        <is>
          <t>Senior 1</t>
        </is>
      </c>
      <c r="C8" s="1" t="inlineStr">
        <is>
          <t>Coming on bench in 30 week(s)</t>
        </is>
      </c>
      <c r="D8" s="1" t="n">
        <v>1.06207</v>
      </c>
      <c r="E8" s="1" t="n">
        <v>1.06207</v>
      </c>
      <c r="F8" s="1" t="n">
        <v>1.49957</v>
      </c>
      <c r="G8" s="14" t="n">
        <v>1.06207</v>
      </c>
      <c r="H8" s="14" t="n">
        <v>1.06207</v>
      </c>
      <c r="I8" s="14" t="n">
        <v>1.06207</v>
      </c>
      <c r="J8" s="14" t="n">
        <v>1.06207</v>
      </c>
      <c r="K8" s="14" t="n">
        <v>1.06207</v>
      </c>
      <c r="L8" s="14" t="n">
        <v>1.06207</v>
      </c>
      <c r="M8" s="14" t="n">
        <v>1.06207</v>
      </c>
      <c r="N8" s="15" t="inlineStr">
        <is>
          <t>Jan - Dec 2026 - Client A 100%</t>
        </is>
      </c>
      <c r="O8" s="15" t="inlineStr">
        <is>
          <t>PR (Malaysian)</t>
        </is>
      </c>
      <c r="P8" s="15" t="inlineStr">
        <is>
          <t>Business Analyst</t>
        </is>
      </c>
      <c r="Q8" s="15" t="inlineStr">
        <is>
          <t>Microsoft Azure, Spark, Python, SQL</t>
        </is>
      </c>
      <c r="R8" s="15" t="inlineStr">
        <is>
          <t>AWS, GCP</t>
        </is>
      </c>
      <c r="S8" s="15" t="inlineStr">
        <is>
          <t>Data Engineer</t>
        </is>
      </c>
      <c r="T8" s="15" t="inlineStr">
        <is>
          <t>Client A - Platform A1 (GovCloud) - ENG-017</t>
        </is>
      </c>
      <c r="U8" s="15" t="inlineStr">
        <is>
          <t>Masked Person 1</t>
        </is>
      </c>
    </row>
    <row r="9">
      <c r="A9" t="inlineStr">
        <is>
          <t>Masked Person 9</t>
        </is>
      </c>
      <c r="B9" t="inlineStr">
        <is>
          <t>Staff/Assistant 2</t>
        </is>
      </c>
      <c r="C9" s="1" t="inlineStr">
        <is>
          <t>Coming on bench in 4 week(s)</t>
        </is>
      </c>
      <c r="D9" s="1" t="n">
        <v>0.566666666666667</v>
      </c>
      <c r="E9" s="1" t="n">
        <v>0.283333333333333</v>
      </c>
      <c r="F9" s="1" t="n">
        <v>1</v>
      </c>
      <c r="G9" s="14" t="n">
        <v>1</v>
      </c>
      <c r="H9" s="14" t="n">
        <v>1</v>
      </c>
      <c r="I9" s="14" t="n">
        <v>1</v>
      </c>
      <c r="J9" s="14" t="n">
        <v>0.4</v>
      </c>
      <c r="K9" s="14" t="n">
        <v>0</v>
      </c>
      <c r="L9" s="14" t="n">
        <v>0</v>
      </c>
      <c r="M9" s="14" t="n">
        <v>0</v>
      </c>
      <c r="N9" s="15" t="inlineStr">
        <is>
          <t>Jan - Jun 2026 - Client A 100%</t>
        </is>
      </c>
      <c r="O9" s="15" t="inlineStr">
        <is>
          <t>Singaporean</t>
        </is>
      </c>
      <c r="P9" s="15" t="n"/>
      <c r="Q9" s="15" t="n"/>
      <c r="R9" s="15" t="n"/>
      <c r="S9" s="15" t="n"/>
      <c r="T9" s="15" t="inlineStr">
        <is>
          <t>Client A - Platform A1 in GovCloud - ENG-004</t>
        </is>
      </c>
      <c r="U9" s="15" t="n"/>
    </row>
    <row r="10">
      <c r="A10" t="inlineStr">
        <is>
          <t>Masked Person 11</t>
        </is>
      </c>
      <c r="B10" t="inlineStr">
        <is>
          <t>Senior Manager 1</t>
        </is>
      </c>
      <c r="C10" s="1" t="inlineStr">
        <is>
          <t>Coming on bench in 4 week(s)</t>
        </is>
      </c>
      <c r="D10" s="1" t="n">
        <v>0.34</v>
      </c>
      <c r="E10" s="1" t="n">
        <v>0.17</v>
      </c>
      <c r="F10" s="1" t="n">
        <v>0.6</v>
      </c>
      <c r="G10" s="14" t="n">
        <v>0.6</v>
      </c>
      <c r="H10" s="14" t="n">
        <v>0.6</v>
      </c>
      <c r="I10" s="14" t="n">
        <v>0.6</v>
      </c>
      <c r="J10" s="14" t="n">
        <v>0.24</v>
      </c>
      <c r="K10" s="14" t="n">
        <v>0</v>
      </c>
      <c r="L10" s="14" t="n">
        <v>0</v>
      </c>
      <c r="M10" s="14" t="n">
        <v>0</v>
      </c>
      <c r="N10" s="15" t="inlineStr">
        <is>
          <t>Jan - Jun 2026 - Client D 60%</t>
        </is>
      </c>
      <c r="O10" s="15" t="inlineStr">
        <is>
          <t>PR (Malaysian)</t>
        </is>
      </c>
      <c r="P10" s="15" t="n"/>
      <c r="Q10" s="15" t="inlineStr">
        <is>
          <t>System Migration</t>
        </is>
      </c>
      <c r="R10" s="15" t="inlineStr">
        <is>
          <t>Data Architect</t>
        </is>
      </c>
      <c r="S10" s="15" t="inlineStr">
        <is>
          <t>AI Philosopist</t>
        </is>
      </c>
      <c r="T10" s="15" t="inlineStr">
        <is>
          <t>Client D - Platform D1 GovCloud Migration - Imp - ENG-007</t>
        </is>
      </c>
      <c r="U10" t="inlineStr">
        <is>
          <t>Masked Person 11</t>
        </is>
      </c>
    </row>
    <row r="11">
      <c r="A11" t="inlineStr">
        <is>
          <t>Masked Person 12</t>
        </is>
      </c>
      <c r="B11" t="inlineStr">
        <is>
          <t>Senior 2</t>
        </is>
      </c>
      <c r="C11" s="1" t="inlineStr">
        <is>
          <t>Coming on bench in 17 week(s)</t>
        </is>
      </c>
      <c r="D11" s="1" t="n">
        <v>0.844158333333334</v>
      </c>
      <c r="E11" s="1" t="n">
        <v>0.928574166666667</v>
      </c>
      <c r="F11" s="1" t="n">
        <v>0</v>
      </c>
      <c r="G11" s="14" t="n">
        <v>0</v>
      </c>
      <c r="H11" s="14" t="n">
        <v>1.01299</v>
      </c>
      <c r="I11" s="14" t="n">
        <v>1.01299</v>
      </c>
      <c r="J11" s="14" t="n">
        <v>1.01299</v>
      </c>
      <c r="K11" s="14" t="n">
        <v>1.01299</v>
      </c>
      <c r="L11" s="14" t="n">
        <v>1.01299</v>
      </c>
      <c r="M11" s="14" t="n">
        <v>1.01299</v>
      </c>
      <c r="N11" s="15" t="inlineStr">
        <is>
          <t>Jan - Mid May 2026 - Client H 100%</t>
        </is>
      </c>
      <c r="O11" s="15" t="inlineStr">
        <is>
          <t>Singaporean</t>
        </is>
      </c>
      <c r="P11" s="15" t="inlineStr">
        <is>
          <t>Tech Lead</t>
        </is>
      </c>
      <c r="Q11" s="15" t="inlineStr">
        <is>
          <t>Azure, Linux, Neo4j GDS, PostgreSQL, Python, MySQL, Hadoop, REACT, Java, HTML, CSS, SQL, Tableau, AWS</t>
        </is>
      </c>
      <c r="R11" s="15" t="inlineStr">
        <is>
          <t>Power BI, JIRA, GCP, PyTorch, TensorFlow, Scikit-learn, Python, C++, C, Navicat, Kafka, Spring</t>
        </is>
      </c>
      <c r="S11" s="15" t="inlineStr">
        <is>
          <t>Cloud platforms, MLOps</t>
        </is>
      </c>
      <c r="T11" s="15" t="inlineStr">
        <is>
          <t>Client H Project H1 - ENG-020</t>
        </is>
      </c>
      <c r="U11" s="15" t="inlineStr">
        <is>
          <t>Masked Person 29</t>
        </is>
      </c>
    </row>
    <row r="12">
      <c r="A12" t="inlineStr">
        <is>
          <t>Masked Person 13</t>
        </is>
      </c>
      <c r="B12" t="inlineStr">
        <is>
          <t>Senior Manager 1</t>
        </is>
      </c>
      <c r="C12" s="1" t="inlineStr">
        <is>
          <t>Coming on bench in 47 week(s)</t>
        </is>
      </c>
      <c r="D12" s="1" t="n">
        <v>1.04661</v>
      </c>
      <c r="E12" s="1" t="n">
        <v>0.697773333333333</v>
      </c>
      <c r="F12" s="1" t="n">
        <v>1.04661</v>
      </c>
      <c r="G12" s="14" t="n">
        <v>1.04661</v>
      </c>
      <c r="H12" s="14" t="n">
        <v>1.04661</v>
      </c>
      <c r="I12" s="14" t="n">
        <v>1.04661</v>
      </c>
      <c r="J12" s="14" t="n">
        <v>1.04661</v>
      </c>
      <c r="K12" s="14" t="n">
        <v>1.04661</v>
      </c>
      <c r="L12" s="14" t="n">
        <v>1.04661</v>
      </c>
      <c r="M12" s="14" t="n">
        <v>1.04661</v>
      </c>
      <c r="N12" s="15" t="inlineStr">
        <is>
          <t>June 2026 Client AE, Client A, Client E - Combined 100%</t>
        </is>
      </c>
      <c r="O12" s="15" t="inlineStr">
        <is>
          <t>EP (Indian)</t>
        </is>
      </c>
      <c r="P12" s="15" t="n"/>
      <c r="Q12" s="15" t="inlineStr">
        <is>
          <t xml:space="preserve">Project Management, Agile Delivery, Scrum </t>
        </is>
      </c>
      <c r="R12" s="15" t="inlineStr">
        <is>
          <t xml:space="preserve"> Data Governance </t>
        </is>
      </c>
      <c r="S12" s="15" t="inlineStr">
        <is>
          <t xml:space="preserve">AI Strategy and Governance </t>
        </is>
      </c>
      <c r="T12" s="15" t="inlineStr">
        <is>
          <t>Client C - Platform C1 - Implementation Release 2 and 3 - ENG-014</t>
        </is>
      </c>
      <c r="U12" t="inlineStr">
        <is>
          <t>Masked Person 61</t>
        </is>
      </c>
    </row>
    <row r="13">
      <c r="A13" t="inlineStr">
        <is>
          <t>Masked Person 14</t>
        </is>
      </c>
      <c r="B13" t="inlineStr">
        <is>
          <t>Senior 3</t>
        </is>
      </c>
      <c r="C13" s="1" t="inlineStr">
        <is>
          <t>Benching for 4 week(s)</t>
        </is>
      </c>
      <c r="D13" s="1" t="n">
        <v>0</v>
      </c>
      <c r="E13" s="1" t="n">
        <v>0</v>
      </c>
      <c r="F13" s="1" t="n">
        <v>0</v>
      </c>
      <c r="G13" s="14" t="n">
        <v>0</v>
      </c>
      <c r="H13" s="14" t="n">
        <v>0</v>
      </c>
      <c r="I13" s="14" t="n">
        <v>0</v>
      </c>
      <c r="J13" s="14" t="n">
        <v>0</v>
      </c>
      <c r="K13" s="14" t="n">
        <v>0</v>
      </c>
      <c r="L13" s="14" t="n">
        <v>0</v>
      </c>
      <c r="M13" s="14" t="n">
        <v>0</v>
      </c>
      <c r="N13" s="15" t="inlineStr">
        <is>
          <t>Jan - May 2026 - Client A 100%</t>
        </is>
      </c>
      <c r="O13" s="15" t="inlineStr">
        <is>
          <t>EP (Indian)</t>
        </is>
      </c>
      <c r="P13" s="15" t="inlineStr">
        <is>
          <t>Lead Data Engineer</t>
        </is>
      </c>
      <c r="Q13" s="15" t="inlineStr">
        <is>
          <t>Python, SQL, PySpark, Databricks, Fabric</t>
        </is>
      </c>
      <c r="R13" s="15" t="inlineStr">
        <is>
          <t>Langchain, LangGraph, RAG</t>
        </is>
      </c>
      <c r="S13" s="15" t="inlineStr">
        <is>
          <t>Gen/Agentic AI roles</t>
        </is>
      </c>
      <c r="T13" s="15" t="inlineStr">
        <is>
          <t>Client A - Platform A1 (GovCloud) - ENG-017</t>
        </is>
      </c>
      <c r="U13" s="15" t="inlineStr">
        <is>
          <t>Masked Person 1</t>
        </is>
      </c>
    </row>
    <row r="14">
      <c r="A14" t="inlineStr">
        <is>
          <t>Masked Person 16</t>
        </is>
      </c>
      <c r="B14" t="inlineStr">
        <is>
          <t>Senior Manager 3</t>
        </is>
      </c>
      <c r="C14" s="1" t="inlineStr">
        <is>
          <t>Benching for 10 week(s)</t>
        </is>
      </c>
      <c r="D14" s="1" t="n">
        <v>0</v>
      </c>
      <c r="E14" s="1" t="n">
        <v>0</v>
      </c>
      <c r="F14" s="1" t="n">
        <v>0</v>
      </c>
      <c r="G14" s="14" t="n">
        <v>0</v>
      </c>
      <c r="H14" s="14" t="n">
        <v>0</v>
      </c>
      <c r="I14" s="14" t="n">
        <v>0</v>
      </c>
      <c r="J14" s="14" t="n">
        <v>0</v>
      </c>
      <c r="K14" s="14" t="n">
        <v>0</v>
      </c>
      <c r="L14" s="14" t="n">
        <v>0</v>
      </c>
      <c r="M14" s="14" t="n">
        <v>0</v>
      </c>
      <c r="N14" s="17" t="n"/>
      <c r="O14" s="17" t="inlineStr">
        <is>
          <t>EP (Indian)</t>
        </is>
      </c>
      <c r="P14" s="17" t="inlineStr">
        <is>
          <t>Project Lead</t>
        </is>
      </c>
      <c r="Q14" s="17" t="inlineStr">
        <is>
          <t>Project Management, Business Analysis</t>
        </is>
      </c>
      <c r="R14" s="17" t="inlineStr">
        <is>
          <t>-</t>
        </is>
      </c>
      <c r="S14" s="17" t="inlineStr">
        <is>
          <t>-</t>
        </is>
      </c>
      <c r="T14" s="17" t="inlineStr">
        <is>
          <t>Client C - Platform C1 - Implementation Release 2 and 3 - ENG-014</t>
        </is>
      </c>
      <c r="U14" s="9" t="inlineStr">
        <is>
          <t>Masked Person 61</t>
        </is>
      </c>
    </row>
    <row r="15">
      <c r="A15" t="inlineStr">
        <is>
          <t>Masked Person 17</t>
        </is>
      </c>
      <c r="B15" t="inlineStr">
        <is>
          <t>Senior Manager 3</t>
        </is>
      </c>
      <c r="C15" s="1" t="inlineStr">
        <is>
          <t>Coming on bench in 4 week(s)</t>
        </is>
      </c>
      <c r="D15" s="1" t="n">
        <v>0.0470833</v>
      </c>
      <c r="E15" s="1" t="n">
        <v>0.0480642083333333</v>
      </c>
      <c r="F15" s="1" t="n">
        <v>0.0588542</v>
      </c>
      <c r="G15" s="14" t="n">
        <v>0.0470833</v>
      </c>
      <c r="H15" s="14" t="n">
        <v>0.0470833</v>
      </c>
      <c r="I15" s="14" t="n">
        <v>0.0470833</v>
      </c>
      <c r="J15" s="14" t="n">
        <v>0.0470833</v>
      </c>
      <c r="K15" s="14" t="n">
        <v>0.0470833</v>
      </c>
      <c r="L15" s="14" t="n">
        <v>0.0470833</v>
      </c>
      <c r="M15" s="14" t="n">
        <v>0.0470833</v>
      </c>
      <c r="N15" s="17" t="n"/>
      <c r="O15" s="17" t="inlineStr">
        <is>
          <t>PR (Indian)</t>
        </is>
      </c>
      <c r="P15" s="17" t="n"/>
      <c r="Q15" s="17" t="inlineStr">
        <is>
          <t>AI Engineering, Solutions Development</t>
        </is>
      </c>
      <c r="R15" s="17" t="inlineStr">
        <is>
          <t>-</t>
        </is>
      </c>
      <c r="S15" s="17" t="inlineStr">
        <is>
          <t>-</t>
        </is>
      </c>
      <c r="T15" s="17" t="inlineStr">
        <is>
          <t>HOUSING &amp; DEVELOPMENT BOARD - Client E System E1 Support - ENG-005</t>
        </is>
      </c>
      <c r="U15" s="17" t="n"/>
    </row>
    <row r="16">
      <c r="A16" t="inlineStr">
        <is>
          <t>Masked Person 18</t>
        </is>
      </c>
      <c r="B16" t="inlineStr">
        <is>
          <t>Staff/Assistant 2</t>
        </is>
      </c>
      <c r="C16" s="1" t="inlineStr">
        <is>
          <t>Coming on bench in 4 week(s)</t>
        </is>
      </c>
      <c r="D16" s="1" t="n">
        <v>0.935932166666667</v>
      </c>
      <c r="E16" s="1" t="n">
        <v>0.976031083333333</v>
      </c>
      <c r="F16" s="1" t="n">
        <v>0.583333</v>
      </c>
      <c r="G16" s="14" t="n">
        <v>0.583333</v>
      </c>
      <c r="H16" s="14" t="n">
        <v>1</v>
      </c>
      <c r="I16" s="14" t="n">
        <v>1</v>
      </c>
      <c r="J16" s="14" t="n">
        <v>1</v>
      </c>
      <c r="K16" s="14" t="n">
        <v>1.01613</v>
      </c>
      <c r="L16" s="14" t="n">
        <v>1.01613</v>
      </c>
      <c r="M16" s="14" t="n">
        <v>1.01613</v>
      </c>
      <c r="N16" s="15" t="inlineStr">
        <is>
          <t>Jan - Mid May 2026 - Client H 100%</t>
        </is>
      </c>
      <c r="O16" s="15" t="inlineStr">
        <is>
          <t>PR (Indonesian)</t>
        </is>
      </c>
      <c r="P16" s="15" t="inlineStr">
        <is>
          <t>AI developer</t>
        </is>
      </c>
      <c r="Q16" s="15" t="inlineStr">
        <is>
          <t>Python, TensorFlow, LangChain, Azure, Scikit-Learn, Keras, Streamlit, Flask, FastAPI, FAISS, Qdrant, SQL (MS SQL, MY SQL), ReactJS, Django, SprintBoot, Java</t>
        </is>
      </c>
      <c r="R16" s="15" t="inlineStr">
        <is>
          <t>Docker, AWS, PostgrSQL, MongoDB, GraphQL, C/C++, Swift / SwiftUI, Android programming</t>
        </is>
      </c>
      <c r="S16" s="15" t="inlineStr">
        <is>
          <t>Deepen AI skills, Cloud architecture, Devops</t>
        </is>
      </c>
      <c r="T16" s="15" t="inlineStr">
        <is>
          <t>Client H Project H1 - ENG-020</t>
        </is>
      </c>
      <c r="U16" s="15" t="inlineStr">
        <is>
          <t>Masked Person 29</t>
        </is>
      </c>
    </row>
    <row r="17">
      <c r="A17" t="inlineStr">
        <is>
          <t>Masked Person 19</t>
        </is>
      </c>
      <c r="B17" t="inlineStr">
        <is>
          <t>Intern (CS) 1</t>
        </is>
      </c>
      <c r="C17" s="1" t="inlineStr">
        <is>
          <t>Coming on bench in 17 week(s)</t>
        </is>
      </c>
      <c r="D17" s="1" t="n">
        <v>1.02885</v>
      </c>
      <c r="E17" s="1" t="n">
        <v>1.02885</v>
      </c>
      <c r="F17" s="1" t="n">
        <v>1.02885</v>
      </c>
      <c r="G17" s="14" t="n">
        <v>1.02885</v>
      </c>
      <c r="H17" s="14" t="n">
        <v>1.02885</v>
      </c>
      <c r="I17" s="14" t="n">
        <v>1.02885</v>
      </c>
      <c r="J17" s="14" t="n">
        <v>1.02885</v>
      </c>
      <c r="K17" s="14" t="n">
        <v>1.02885</v>
      </c>
      <c r="L17" s="14" t="n">
        <v>1.02885</v>
      </c>
      <c r="M17" s="14" t="n">
        <v>1.02885</v>
      </c>
      <c r="N17" s="15" t="inlineStr">
        <is>
          <t>May - June 2026 - Client I 100%</t>
        </is>
      </c>
      <c r="O17" s="15" t="n"/>
      <c r="P17" s="15" t="inlineStr">
        <is>
          <t>Software Developer</t>
        </is>
      </c>
      <c r="Q17" s="15" t="inlineStr">
        <is>
          <t>JavaScript, React, Node.js, HTML, CSS, REST APIs, Powerpoint, Excel</t>
        </is>
      </c>
      <c r="R17" s="15" t="inlineStr">
        <is>
          <t>PostgreSQL, Microsoft SQL, Git, Azure/AWS, Docker, GitHub Copilot, Basic DevOps</t>
        </is>
      </c>
      <c r="S17" s="15" t="inlineStr">
        <is>
          <t>Full Stack Developer</t>
        </is>
      </c>
      <c r="T17" s="15" t="n"/>
      <c r="U17" s="15" t="n"/>
    </row>
    <row r="18">
      <c r="A18" t="inlineStr">
        <is>
          <t>Masked Person 20</t>
        </is>
      </c>
      <c r="B18" t="inlineStr">
        <is>
          <t>Manager 3</t>
        </is>
      </c>
      <c r="C18" s="1" t="inlineStr">
        <is>
          <t>Coming on bench in 4 week(s)</t>
        </is>
      </c>
      <c r="D18" s="1" t="n">
        <v>1</v>
      </c>
      <c r="E18" s="1" t="n">
        <v>0.666666666666667</v>
      </c>
      <c r="F18" s="1" t="n">
        <v>1</v>
      </c>
      <c r="G18" s="14" t="n">
        <v>1</v>
      </c>
      <c r="H18" s="14" t="n">
        <v>1</v>
      </c>
      <c r="I18" s="14" t="n">
        <v>1</v>
      </c>
      <c r="J18" s="14" t="n">
        <v>1</v>
      </c>
      <c r="K18" s="14" t="n">
        <v>1</v>
      </c>
      <c r="L18" s="14" t="n">
        <v>1</v>
      </c>
      <c r="M18" s="14" t="n">
        <v>1</v>
      </c>
      <c r="N18" s="15" t="inlineStr">
        <is>
          <t>Jan - Jul - Client B 100%</t>
        </is>
      </c>
      <c r="O18" s="15" t="inlineStr">
        <is>
          <t xml:space="preserve">EP </t>
        </is>
      </c>
      <c r="P18" s="15" t="inlineStr">
        <is>
          <t>Tech Lead</t>
        </is>
      </c>
      <c r="Q18" s="15" t="inlineStr">
        <is>
          <t>SAS, SQL, Python, Linux scripting</t>
        </is>
      </c>
      <c r="R18" s="15" t="inlineStr">
        <is>
          <t>Talend, Informatica, Java, JavaScript</t>
        </is>
      </c>
      <c r="S18" s="15" t="inlineStr">
        <is>
          <t>Technical Lead – Data &amp; Analytics</t>
        </is>
      </c>
      <c r="T18" s="15" t="inlineStr">
        <is>
          <t>Client B - System B1 SAS Upgrade - 3.5 - ENG-010</t>
        </is>
      </c>
      <c r="U18" t="inlineStr">
        <is>
          <t>Masked Person 11</t>
        </is>
      </c>
    </row>
    <row r="19">
      <c r="A19" t="inlineStr">
        <is>
          <t>Masked Person 22</t>
        </is>
      </c>
      <c r="B19" t="inlineStr">
        <is>
          <t>Staff/Assistant 2</t>
        </is>
      </c>
      <c r="C19" s="1" t="inlineStr">
        <is>
          <t>Coming on bench in 4 week(s)</t>
        </is>
      </c>
      <c r="D19" s="1" t="n">
        <v>1</v>
      </c>
      <c r="E19" s="1" t="n">
        <v>1</v>
      </c>
      <c r="F19" s="1" t="n">
        <v>1</v>
      </c>
      <c r="G19" s="14" t="n">
        <v>1</v>
      </c>
      <c r="H19" s="14" t="n">
        <v>1</v>
      </c>
      <c r="I19" s="14" t="n">
        <v>1</v>
      </c>
      <c r="J19" s="14" t="n">
        <v>1</v>
      </c>
      <c r="K19" s="14" t="n">
        <v>1</v>
      </c>
      <c r="L19" s="14" t="n">
        <v>1</v>
      </c>
      <c r="M19" s="14" t="n">
        <v>1</v>
      </c>
      <c r="N19" s="15" t="inlineStr">
        <is>
          <t>Jan - Dec 2026 - Client D 100%</t>
        </is>
      </c>
      <c r="O19" s="15" t="inlineStr">
        <is>
          <t xml:space="preserve">EP </t>
        </is>
      </c>
      <c r="P19" s="15" t="inlineStr">
        <is>
          <t>Data Engineer</t>
        </is>
      </c>
      <c r="Q19" s="15" t="inlineStr">
        <is>
          <t>SAS, Python, SQL, Microsoft Power BI</t>
        </is>
      </c>
      <c r="R19" s="15" t="inlineStr">
        <is>
          <t>Generative AI, Machine Learning, Artificial Intelligence, Java</t>
        </is>
      </c>
      <c r="S19" s="15" t="inlineStr">
        <is>
          <t>Data Scientists</t>
        </is>
      </c>
      <c r="T19" s="15" t="inlineStr">
        <is>
          <t>Client D - Platform D1 GovCloud Migration - M&amp;S - ENG-008</t>
        </is>
      </c>
      <c r="U19" t="inlineStr">
        <is>
          <t>Masked Person 11</t>
        </is>
      </c>
    </row>
    <row r="20">
      <c r="A20" t="inlineStr">
        <is>
          <t>Masked Person 23</t>
        </is>
      </c>
      <c r="B20" t="inlineStr">
        <is>
          <t>Intern (CS) 1</t>
        </is>
      </c>
      <c r="C20" s="1" t="inlineStr">
        <is>
          <t>Benching for 2 week(s)</t>
        </is>
      </c>
      <c r="D20" s="1" t="n">
        <v>0</v>
      </c>
      <c r="E20" s="1" t="n">
        <v>0</v>
      </c>
      <c r="F20" s="1" t="n">
        <v>0</v>
      </c>
      <c r="G20" s="14" t="n">
        <v>0</v>
      </c>
      <c r="H20" s="14" t="n">
        <v>0</v>
      </c>
      <c r="I20" s="14" t="n">
        <v>0</v>
      </c>
      <c r="J20" s="14" t="n">
        <v>0</v>
      </c>
      <c r="K20" s="14" t="n">
        <v>0</v>
      </c>
      <c r="L20" s="14" t="n">
        <v>0</v>
      </c>
      <c r="M20" s="14" t="n">
        <v>0</v>
      </c>
      <c r="N20" s="15" t="n"/>
      <c r="O20" s="15" t="n"/>
      <c r="P20" s="15" t="inlineStr">
        <is>
          <t>Data Engineer</t>
        </is>
      </c>
      <c r="Q20" s="15" t="inlineStr">
        <is>
          <t>Python, MySQL, PostgreSQL, Java, REACT, Machine Learning, C</t>
        </is>
      </c>
      <c r="R20" s="15" t="inlineStr">
        <is>
          <t>PyTorch, Scikit-learn, SHAP, Model Optimization, Feature Engineering, Data Analytics, Deep Learning</t>
        </is>
      </c>
      <c r="S20" s="15" t="inlineStr">
        <is>
          <t>AI/ML Engineer, Data Scientist</t>
        </is>
      </c>
      <c r="T20" s="15" t="n"/>
    </row>
    <row r="21">
      <c r="A21" t="inlineStr">
        <is>
          <t>Masked Person 25</t>
        </is>
      </c>
      <c r="B21" t="inlineStr">
        <is>
          <t>Manager 1</t>
        </is>
      </c>
      <c r="C21" s="1" t="inlineStr">
        <is>
          <t>Coming on bench in 4 week(s)</t>
        </is>
      </c>
      <c r="D21" s="1" t="n">
        <v>1</v>
      </c>
      <c r="E21" s="1" t="n">
        <v>1</v>
      </c>
      <c r="F21" s="1" t="n">
        <v>1</v>
      </c>
      <c r="G21" s="14" t="n">
        <v>1</v>
      </c>
      <c r="H21" s="14" t="n">
        <v>1</v>
      </c>
      <c r="I21" s="14" t="n">
        <v>1</v>
      </c>
      <c r="J21" s="14" t="n">
        <v>1</v>
      </c>
      <c r="K21" s="14" t="n">
        <v>1</v>
      </c>
      <c r="L21" s="14" t="n">
        <v>1</v>
      </c>
      <c r="M21" s="14" t="n">
        <v>1</v>
      </c>
      <c r="N21" s="15" t="inlineStr">
        <is>
          <t>Apr - Sep 2026 - Client I</t>
        </is>
      </c>
      <c r="O21" s="15" t="inlineStr">
        <is>
          <t xml:space="preserve">PR </t>
        </is>
      </c>
      <c r="P21" s="15" t="inlineStr">
        <is>
          <t>Project Manager</t>
        </is>
      </c>
      <c r="Q21" s="15" t="inlineStr">
        <is>
          <t xml:space="preserve">Python, LLM/RAG Development (Langchain), AWS Analytics pipeline &amp; services, BI, PostgreSQL </t>
        </is>
      </c>
      <c r="R21" s="15" t="inlineStr">
        <is>
          <t>Azure AI Services, Streamlit</t>
        </is>
      </c>
      <c r="S21" s="15" t="inlineStr">
        <is>
          <t>MLOps, Enterprise AI &amp; Cloud architecture, Multi-agent systems</t>
        </is>
      </c>
      <c r="T21" s="15" t="inlineStr">
        <is>
          <t>Client I - AI Roadmap &amp; MVP Implementation - ENG-019</t>
        </is>
      </c>
      <c r="U21" s="15" t="inlineStr">
        <is>
          <t>Masked Person 29</t>
        </is>
      </c>
    </row>
    <row r="22" ht="58" customHeight="1" s="350">
      <c r="A22" t="inlineStr">
        <is>
          <t>Masked Person 26</t>
        </is>
      </c>
      <c r="B22" t="inlineStr">
        <is>
          <t>Senior 3</t>
        </is>
      </c>
      <c r="C22" s="1" t="inlineStr">
        <is>
          <t>Coming on bench in 4 week(s)</t>
        </is>
      </c>
      <c r="D22" s="1" t="n">
        <v>0.416666666666667</v>
      </c>
      <c r="E22" s="1" t="n">
        <v>0.458333333333333</v>
      </c>
      <c r="F22" s="1" t="n">
        <v>0.5</v>
      </c>
      <c r="G22" s="14" t="n">
        <v>0.5</v>
      </c>
      <c r="H22" s="14" t="n">
        <v>0.5</v>
      </c>
      <c r="I22" s="14" t="n">
        <v>0</v>
      </c>
      <c r="J22" s="14" t="n">
        <v>0.5</v>
      </c>
      <c r="K22" s="14" t="n">
        <v>0.5</v>
      </c>
      <c r="L22" s="14" t="n">
        <v>0.5</v>
      </c>
      <c r="M22" s="14" t="n">
        <v>0.5</v>
      </c>
      <c r="N22" s="16" t="inlineStr">
        <is>
          <t>Apr - May 2026 Client AG 80%, Platform C1 20%     + Project C2 to start soon, will drop Client AG to 50%.
May 2026 - November 2026 Project C2 enhancement + new AI use case 100% (both are TBC)</t>
        </is>
      </c>
      <c r="O22" s="15" t="inlineStr">
        <is>
          <t>PR (Indonesian)</t>
        </is>
      </c>
      <c r="P22" s="15" t="inlineStr">
        <is>
          <t>DG Lead, Technical Lead</t>
        </is>
      </c>
      <c r="Q22" s="15" t="inlineStr">
        <is>
          <t>SQL, Purview, Azure, Alation, Python</t>
        </is>
      </c>
      <c r="R22" s="15" t="inlineStr">
        <is>
          <t>QlikSense, Power BI, MATLAB, Fabric</t>
        </is>
      </c>
      <c r="S22" s="15" t="inlineStr">
        <is>
          <t>AI Engineer</t>
        </is>
      </c>
      <c r="T22" s="15" t="inlineStr">
        <is>
          <t>Client C - Platform C1 - Implementation Release 2 and 3 - ENG-014</t>
        </is>
      </c>
      <c r="U22" t="inlineStr">
        <is>
          <t>Masked Person 61</t>
        </is>
      </c>
    </row>
    <row r="23">
      <c r="A23" t="inlineStr">
        <is>
          <t>Masked Person 27</t>
        </is>
      </c>
      <c r="B23" t="inlineStr">
        <is>
          <t>Manager 3</t>
        </is>
      </c>
      <c r="C23" s="1" t="inlineStr">
        <is>
          <t>Coming on bench in 4 week(s)</t>
        </is>
      </c>
      <c r="D23" s="1" t="n">
        <v>0.34</v>
      </c>
      <c r="E23" s="1" t="n">
        <v>0.17</v>
      </c>
      <c r="F23" s="1" t="n">
        <v>0.6</v>
      </c>
      <c r="G23" s="14" t="n">
        <v>0.6</v>
      </c>
      <c r="H23" s="14" t="n">
        <v>0.6</v>
      </c>
      <c r="I23" s="14" t="n">
        <v>0.6</v>
      </c>
      <c r="J23" s="14" t="n">
        <v>0.24</v>
      </c>
      <c r="K23" s="14" t="n">
        <v>0</v>
      </c>
      <c r="L23" s="14" t="n">
        <v>0</v>
      </c>
      <c r="M23" s="14" t="n">
        <v>0</v>
      </c>
      <c r="N23" s="15" t="inlineStr">
        <is>
          <t>Jan - Dec - Client A 60%</t>
        </is>
      </c>
      <c r="O23" s="15" t="inlineStr">
        <is>
          <t>EP (Indian)</t>
        </is>
      </c>
      <c r="P23" s="15" t="n"/>
      <c r="Q23" s="15" t="inlineStr">
        <is>
          <t xml:space="preserve">Azure ML, Cloudera, SQL, PostgreSQL, Azure Synapse
</t>
        </is>
      </c>
      <c r="R23" s="15" t="inlineStr">
        <is>
          <t xml:space="preserve">SAS Viya / SAS 9.4, Tableau, Power BI, Azure Information Assist &amp; AI
</t>
        </is>
      </c>
      <c r="S23" s="15" t="inlineStr">
        <is>
          <t>Data Scientist</t>
        </is>
      </c>
      <c r="T23" s="15" t="inlineStr">
        <is>
          <t>Client A - Platform A1 Maintenance Phase 1 &amp;2 - ENG-003</t>
        </is>
      </c>
      <c r="U23" t="inlineStr">
        <is>
          <t>Masked Person 13</t>
        </is>
      </c>
    </row>
    <row r="24">
      <c r="A24" t="inlineStr">
        <is>
          <t>Masked Person 28</t>
        </is>
      </c>
      <c r="B24" t="inlineStr">
        <is>
          <t>Staff/Assistant 2</t>
        </is>
      </c>
      <c r="C24" s="1" t="inlineStr">
        <is>
          <t>Coming on bench in 4 week(s)</t>
        </is>
      </c>
      <c r="D24" s="1" t="n">
        <v>1</v>
      </c>
      <c r="E24" s="1" t="n">
        <v>0.75</v>
      </c>
      <c r="F24" s="1" t="n">
        <v>1</v>
      </c>
      <c r="G24" s="14" t="n">
        <v>1</v>
      </c>
      <c r="H24" s="14" t="n">
        <v>1</v>
      </c>
      <c r="I24" s="14" t="n">
        <v>1</v>
      </c>
      <c r="J24" s="14" t="n">
        <v>1</v>
      </c>
      <c r="K24" s="14" t="n">
        <v>1</v>
      </c>
      <c r="L24" s="14" t="n">
        <v>1</v>
      </c>
      <c r="M24" s="14" t="n">
        <v>1</v>
      </c>
      <c r="N24" s="15" t="inlineStr">
        <is>
          <t>Mar 2026 - Aug 2026 Client B 100%</t>
        </is>
      </c>
      <c r="O24" s="15" t="inlineStr">
        <is>
          <t>Singaporean</t>
        </is>
      </c>
      <c r="P24" s="15" t="inlineStr">
        <is>
          <t>Data Engineer</t>
        </is>
      </c>
      <c r="Q24" s="15" t="inlineStr">
        <is>
          <t>Python, Maching Learning, Data Engineering</t>
        </is>
      </c>
      <c r="R24" s="15" t="inlineStr">
        <is>
          <t>-</t>
        </is>
      </c>
      <c r="S24" s="15" t="inlineStr">
        <is>
          <t>Data engineer, data scientist, data analyst</t>
        </is>
      </c>
      <c r="T24" s="15" t="inlineStr">
        <is>
          <t>Client B - System B1 Maintenance &amp; Support YR 2 to 5 - ENG-006</t>
        </is>
      </c>
      <c r="U24" t="inlineStr">
        <is>
          <t>Masked Person 11</t>
        </is>
      </c>
    </row>
    <row r="25">
      <c r="A25" t="inlineStr">
        <is>
          <t>Masked Person 29</t>
        </is>
      </c>
      <c r="B25" t="inlineStr">
        <is>
          <t>Senior Manager 2</t>
        </is>
      </c>
      <c r="C25" s="1" t="inlineStr">
        <is>
          <t>Coming on bench in 0 week(s)</t>
        </is>
      </c>
      <c r="D25" s="1" t="n">
        <v>0</v>
      </c>
      <c r="E25" s="1" t="n">
        <v>0</v>
      </c>
      <c r="F25" s="1" t="n">
        <v>0</v>
      </c>
      <c r="G25" s="14" t="n">
        <v>0</v>
      </c>
      <c r="H25" s="14" t="n">
        <v>0</v>
      </c>
      <c r="I25" s="14" t="n">
        <v>0</v>
      </c>
      <c r="J25" s="14" t="n">
        <v>0</v>
      </c>
      <c r="K25" s="14" t="n">
        <v>0</v>
      </c>
      <c r="L25" s="14" t="n">
        <v>0</v>
      </c>
      <c r="M25" s="14" t="n">
        <v>0</v>
      </c>
      <c r="N25" s="15" t="n"/>
      <c r="O25" s="15" t="inlineStr">
        <is>
          <t>EP (Indian)</t>
        </is>
      </c>
      <c r="P25" s="15" t="n"/>
      <c r="Q25" s="15" t="inlineStr">
        <is>
          <t>AI Scientist (Machine Learning, Computer Vision, Language AI, Generative AI, Agentic AI)</t>
        </is>
      </c>
      <c r="R25" s="15" t="inlineStr">
        <is>
          <t>AI Strategy &amp; Consulting</t>
        </is>
      </c>
      <c r="S25" s="15" t="inlineStr">
        <is>
          <t>AI Scientist (Machine Learning, Computer Vision, Language AI, Generative AI, Agentic AI)</t>
        </is>
      </c>
      <c r="T25" s="15" t="inlineStr">
        <is>
          <t>Client J Construction Analytics &amp; AI MVP
Client H Project H1 - ENG-020
Client I - AI Roadmap &amp; MVP Implementation - ENG-019</t>
        </is>
      </c>
      <c r="U25" s="15" t="inlineStr">
        <is>
          <t>Masked Person 29</t>
        </is>
      </c>
    </row>
    <row r="26">
      <c r="A26" t="inlineStr">
        <is>
          <t>Masked Person 30</t>
        </is>
      </c>
      <c r="B26" t="inlineStr">
        <is>
          <t>Senior 3</t>
        </is>
      </c>
      <c r="C26" s="1" t="inlineStr">
        <is>
          <t>Coming on bench in 30 week(s)</t>
        </is>
      </c>
      <c r="D26" s="1" t="n">
        <v>1.06098</v>
      </c>
      <c r="E26" s="1" t="n">
        <v>1.06098</v>
      </c>
      <c r="F26" s="1" t="n">
        <v>1.06098</v>
      </c>
      <c r="G26" s="14" t="n">
        <v>1.06098</v>
      </c>
      <c r="H26" s="14" t="n">
        <v>1.06098</v>
      </c>
      <c r="I26" s="14" t="n">
        <v>1.06098</v>
      </c>
      <c r="J26" s="14" t="n">
        <v>1.06098</v>
      </c>
      <c r="K26" s="14" t="n">
        <v>1.06098</v>
      </c>
      <c r="L26" s="14" t="n">
        <v>1.06098</v>
      </c>
      <c r="M26" s="14" t="n">
        <v>1.06098</v>
      </c>
      <c r="N26" s="15" t="inlineStr">
        <is>
          <t>Jan - April Client C 100%</t>
        </is>
      </c>
      <c r="O26" s="15" t="inlineStr">
        <is>
          <t>Singaporean</t>
        </is>
      </c>
      <c r="P26" s="15" t="inlineStr">
        <is>
          <t>Business Analyst, Data Engineer</t>
        </is>
      </c>
      <c r="Q26" s="15" t="inlineStr">
        <is>
          <t>SQL, Azure, Power BI</t>
        </is>
      </c>
      <c r="R26" s="15" t="inlineStr">
        <is>
          <t>SAS, Python, R, Linux</t>
        </is>
      </c>
      <c r="S26" s="15" t="inlineStr">
        <is>
          <t>AI Engineering</t>
        </is>
      </c>
      <c r="T26" s="15" t="inlineStr">
        <is>
          <t>Client C - Platform C1 - Implementation Release 2 and 3 - ENG-014</t>
        </is>
      </c>
      <c r="U26" t="inlineStr">
        <is>
          <t>Masked Person 61</t>
        </is>
      </c>
    </row>
    <row r="27">
      <c r="A27" t="inlineStr">
        <is>
          <t>Masked Person 31</t>
        </is>
      </c>
      <c r="B27" t="inlineStr">
        <is>
          <t>Staff/Assistant 2</t>
        </is>
      </c>
      <c r="C27" s="1" t="inlineStr">
        <is>
          <t>Coming on bench in 4 week(s)</t>
        </is>
      </c>
      <c r="D27" s="1" t="n">
        <v>0.833333333333334</v>
      </c>
      <c r="E27" s="1" t="n">
        <v>0.416666666666667</v>
      </c>
      <c r="F27" s="1" t="n">
        <v>1</v>
      </c>
      <c r="G27" s="14" t="n">
        <v>1</v>
      </c>
      <c r="H27" s="14" t="n">
        <v>1</v>
      </c>
      <c r="I27" s="14" t="n">
        <v>1</v>
      </c>
      <c r="J27" s="14" t="n">
        <v>1</v>
      </c>
      <c r="K27" s="14" t="n">
        <v>1</v>
      </c>
      <c r="L27" s="14" t="n">
        <v>0</v>
      </c>
      <c r="M27" s="14" t="n">
        <v>0</v>
      </c>
      <c r="N27" s="15" t="inlineStr">
        <is>
          <t>Mar - Dec 2026 - Client B 100%</t>
        </is>
      </c>
      <c r="O27" s="15" t="inlineStr">
        <is>
          <t xml:space="preserve">EP </t>
        </is>
      </c>
      <c r="P27" s="15" t="inlineStr">
        <is>
          <t>Data Engineer</t>
        </is>
      </c>
      <c r="Q27" s="15" t="inlineStr">
        <is>
          <t>Python, SQL, PySpark, R, CQL, Azure, MS SQL, Power BI</t>
        </is>
      </c>
      <c r="R27" s="15" t="inlineStr">
        <is>
          <t>Java, C, C++, JavaScript, PostgreSQL, R, DAX, CSS, HTML, SAS, NetBeans, Azure, AWS, Oracle, Bitbucket, Git, SAP, Snowflake</t>
        </is>
      </c>
      <c r="S27" s="15" t="inlineStr">
        <is>
          <t>Data Engineer, Solution Architect, Data Scientist</t>
        </is>
      </c>
      <c r="T27" s="15" t="inlineStr">
        <is>
          <t>Client B - System B1 SAS Upgrade - 3.5 - ENG-010</t>
        </is>
      </c>
      <c r="U27" t="inlineStr">
        <is>
          <t>Masked Person 11</t>
        </is>
      </c>
    </row>
    <row r="28">
      <c r="A28" t="inlineStr">
        <is>
          <t>Masked Person 32</t>
        </is>
      </c>
      <c r="B28" t="inlineStr">
        <is>
          <t>Staff/Assistant 1</t>
        </is>
      </c>
      <c r="C28" s="1" t="inlineStr">
        <is>
          <t>Coming on bench in 8 week(s)</t>
        </is>
      </c>
      <c r="D28" s="1" t="n">
        <v>1.02174</v>
      </c>
      <c r="E28" s="1" t="n">
        <v>0.68116</v>
      </c>
      <c r="F28" s="1" t="n">
        <v>1.02174</v>
      </c>
      <c r="G28" s="14" t="n">
        <v>1.02174</v>
      </c>
      <c r="H28" s="14" t="n">
        <v>1.02174</v>
      </c>
      <c r="I28" s="14" t="n">
        <v>1.02174</v>
      </c>
      <c r="J28" s="14" t="n">
        <v>1.02174</v>
      </c>
      <c r="K28" s="14" t="n">
        <v>1.02174</v>
      </c>
      <c r="L28" s="14" t="n">
        <v>1.02174</v>
      </c>
      <c r="M28" s="14" t="n">
        <v>1.02174</v>
      </c>
      <c r="N28" s="15" t="n"/>
      <c r="O28" s="15" t="inlineStr">
        <is>
          <t>Singaporean</t>
        </is>
      </c>
      <c r="P28" s="15" t="inlineStr">
        <is>
          <t>Platform C1, testing &amp; documentation</t>
        </is>
      </c>
      <c r="Q28" t="inlineStr">
        <is>
          <t>Python, Typescript, Next.js, Java</t>
        </is>
      </c>
      <c r="R28" s="15" t="inlineStr">
        <is>
          <t>React.js, JavaScript, C++, AWS</t>
        </is>
      </c>
      <c r="S28" s="15" t="inlineStr">
        <is>
          <t>Software / Data Engineer</t>
        </is>
      </c>
      <c r="T28" s="15" t="n"/>
      <c r="U28" s="15" t="n"/>
    </row>
    <row r="29">
      <c r="A29" t="inlineStr">
        <is>
          <t>Masked Person 33</t>
        </is>
      </c>
      <c r="B29" t="inlineStr">
        <is>
          <t>Senior 1</t>
        </is>
      </c>
      <c r="C29" s="1" t="inlineStr">
        <is>
          <t>Coming on bench in 4 week(s)</t>
        </is>
      </c>
      <c r="D29" s="1" t="n">
        <v>1</v>
      </c>
      <c r="E29" s="1" t="n">
        <v>1</v>
      </c>
      <c r="F29" s="1" t="n">
        <v>1</v>
      </c>
      <c r="G29" s="14" t="n">
        <v>1</v>
      </c>
      <c r="H29" s="14" t="n">
        <v>1</v>
      </c>
      <c r="I29" s="14" t="n">
        <v>1</v>
      </c>
      <c r="J29" s="14" t="n">
        <v>1</v>
      </c>
      <c r="K29" s="14" t="n">
        <v>1</v>
      </c>
      <c r="L29" s="14" t="n">
        <v>1</v>
      </c>
      <c r="M29" s="14" t="n">
        <v>1</v>
      </c>
      <c r="N29" s="15" t="inlineStr">
        <is>
          <t>Jan- Dec 2026 Client B 100%</t>
        </is>
      </c>
      <c r="O29" s="15" t="inlineStr">
        <is>
          <t xml:space="preserve">PR </t>
        </is>
      </c>
      <c r="P29" s="15" t="inlineStr">
        <is>
          <t>Data Engineer</t>
        </is>
      </c>
      <c r="Q29" s="15" t="inlineStr">
        <is>
          <t>SQL, PostgreSQL, SAS, Python, R</t>
        </is>
      </c>
      <c r="R29" s="15" t="inlineStr">
        <is>
          <t>Tableau, Power BI</t>
        </is>
      </c>
      <c r="S29" s="15" t="inlineStr">
        <is>
          <t>Data Scientist</t>
        </is>
      </c>
      <c r="T29" s="15" t="inlineStr">
        <is>
          <t>Client B - System B1 Maintenance &amp; Support YR 2 to 5 - ENG-006</t>
        </is>
      </c>
      <c r="U29" t="inlineStr">
        <is>
          <t>Masked Person 11</t>
        </is>
      </c>
    </row>
    <row r="30">
      <c r="A30" t="inlineStr">
        <is>
          <t>Masked Person 34</t>
        </is>
      </c>
      <c r="B30" t="inlineStr">
        <is>
          <t>Staff/Assistant 1</t>
        </is>
      </c>
      <c r="C30" s="1" t="inlineStr">
        <is>
          <t>Coming on bench in 0 week(s)</t>
        </is>
      </c>
      <c r="D30" s="1" t="n">
        <v>0</v>
      </c>
      <c r="E30" s="1" t="n">
        <v>0</v>
      </c>
      <c r="F30" s="1" t="n">
        <v>1.25</v>
      </c>
      <c r="G30" s="14" t="n">
        <v>0</v>
      </c>
      <c r="H30" s="14" t="n">
        <v>0</v>
      </c>
      <c r="I30" s="14" t="n">
        <v>0</v>
      </c>
      <c r="J30" s="14" t="n">
        <v>0</v>
      </c>
      <c r="K30" s="14" t="n">
        <v>0</v>
      </c>
      <c r="L30" s="14" t="n">
        <v>0</v>
      </c>
      <c r="M30" s="14" t="n">
        <v>0</v>
      </c>
      <c r="N30" s="15" t="inlineStr">
        <is>
          <t>Apr - June 2026 Client F 100%</t>
        </is>
      </c>
      <c r="O30" s="15" t="inlineStr">
        <is>
          <t>Singaporean</t>
        </is>
      </c>
      <c r="P30" s="15" t="inlineStr">
        <is>
          <t>Business Enablement, AI Analyst</t>
        </is>
      </c>
      <c r="Q30" s="15" t="inlineStr">
        <is>
          <t xml:space="preserve">Python, SQL, React, Generative AI Content Generation </t>
        </is>
      </c>
      <c r="R30" s="15" t="inlineStr">
        <is>
          <t>Business Development, Design</t>
        </is>
      </c>
      <c r="S30" s="15" t="inlineStr">
        <is>
          <t>Product Manager, Strategy Consultant, Business Analyst</t>
        </is>
      </c>
      <c r="T30" s="15" t="inlineStr">
        <is>
          <t>Client F - Project F1 - ENG-021</t>
        </is>
      </c>
      <c r="U30" s="15" t="inlineStr">
        <is>
          <t>Masked Person 29</t>
        </is>
      </c>
    </row>
    <row r="31" ht="16" customHeight="1" s="350">
      <c r="A31" t="inlineStr">
        <is>
          <t>Masked Person 35</t>
        </is>
      </c>
      <c r="B31" t="inlineStr">
        <is>
          <t>Senior 1</t>
        </is>
      </c>
      <c r="C31" s="1" t="inlineStr">
        <is>
          <t>Coming on bench in 4 week(s)</t>
        </is>
      </c>
      <c r="D31" s="1" t="n">
        <v>0.566666666666667</v>
      </c>
      <c r="E31" s="1" t="n">
        <v>0.283333333333333</v>
      </c>
      <c r="F31" s="1" t="n">
        <v>1</v>
      </c>
      <c r="G31" s="14" t="n">
        <v>1</v>
      </c>
      <c r="H31" s="14" t="n">
        <v>1</v>
      </c>
      <c r="I31" s="14" t="n">
        <v>1</v>
      </c>
      <c r="J31" s="14" t="n">
        <v>0.4</v>
      </c>
      <c r="K31" s="14" t="n">
        <v>0</v>
      </c>
      <c r="L31" s="14" t="n">
        <v>0</v>
      </c>
      <c r="M31" s="14" t="n">
        <v>0</v>
      </c>
      <c r="N31" s="15" t="inlineStr">
        <is>
          <t>Jan - June 2026 Client F 100%</t>
        </is>
      </c>
      <c r="O31" s="15" t="inlineStr">
        <is>
          <t>Singaporean</t>
        </is>
      </c>
      <c r="P31" s="15" t="inlineStr">
        <is>
          <t>Business Analyst, Project Management, Data Scientist</t>
        </is>
      </c>
      <c r="Q31" s="15" t="inlineStr">
        <is>
          <t>AWS Sagemaker, Python, R, PyTorch, sklearn, TensorFlow</t>
        </is>
      </c>
      <c r="R31" s="15" t="inlineStr">
        <is>
          <t>Fabric, SQL, Gurobi Solver, QlikSense, Power BI</t>
        </is>
      </c>
      <c r="S31" s="15" t="inlineStr">
        <is>
          <t>Business Analyst/Consultant, Data Scientist, AI Engineer</t>
        </is>
      </c>
      <c r="T31" s="15" t="inlineStr">
        <is>
          <t>Client F - Project F1 - ENG-021</t>
        </is>
      </c>
      <c r="U31" s="15" t="inlineStr">
        <is>
          <t>Masked Person 29</t>
        </is>
      </c>
    </row>
    <row r="32">
      <c r="A32" t="inlineStr">
        <is>
          <t>Masked Person 36</t>
        </is>
      </c>
      <c r="B32" t="inlineStr">
        <is>
          <t>Intern (CS) 1</t>
        </is>
      </c>
      <c r="C32" s="1" t="inlineStr">
        <is>
          <t>Coming on bench in 3 week(s)</t>
        </is>
      </c>
      <c r="D32" s="1" t="n">
        <v>0.4545835</v>
      </c>
      <c r="E32" s="1" t="n">
        <v>0.22729175</v>
      </c>
      <c r="F32" s="1" t="n">
        <v>1.13646</v>
      </c>
      <c r="G32" s="14" t="n">
        <v>0.9091669999999999</v>
      </c>
      <c r="H32" s="14" t="n">
        <v>0.9091669999999999</v>
      </c>
      <c r="I32" s="14" t="n">
        <v>0.9091669999999999</v>
      </c>
      <c r="J32" s="14" t="n">
        <v>0</v>
      </c>
      <c r="K32" s="14" t="n">
        <v>0</v>
      </c>
      <c r="L32" s="14" t="n">
        <v>0</v>
      </c>
      <c r="M32" s="14" t="n">
        <v>0</v>
      </c>
      <c r="N32" s="15" t="inlineStr">
        <is>
          <t>Jan - June 2026 - Client A
Internship until 26 June</t>
        </is>
      </c>
      <c r="O32" s="15" t="inlineStr">
        <is>
          <t>Singaporean</t>
        </is>
      </c>
      <c r="P32" s="15" t="n"/>
      <c r="Q32" s="15" t="inlineStr">
        <is>
          <t>AI engineering</t>
        </is>
      </c>
      <c r="R32" s="15" t="inlineStr">
        <is>
          <t>Software engineering</t>
        </is>
      </c>
      <c r="S32" s="15" t="inlineStr">
        <is>
          <t>AI engineer</t>
        </is>
      </c>
      <c r="T32" s="15" t="inlineStr">
        <is>
          <t>Client A - Platform A1 (GovCloud) - ENG-017</t>
        </is>
      </c>
      <c r="U32" s="15" t="inlineStr">
        <is>
          <t>Masked Person 1</t>
        </is>
      </c>
    </row>
    <row r="33">
      <c r="A33" t="inlineStr">
        <is>
          <t>Masked Person 37</t>
        </is>
      </c>
      <c r="B33" t="inlineStr">
        <is>
          <t>Senior Manager 2</t>
        </is>
      </c>
      <c r="C33" s="1" t="inlineStr">
        <is>
          <t>Coming on bench in 4 week(s)</t>
        </is>
      </c>
      <c r="D33" s="1" t="n">
        <v>0.2</v>
      </c>
      <c r="E33" s="1" t="n">
        <v>0.2</v>
      </c>
      <c r="F33" s="1" t="n">
        <v>0.2</v>
      </c>
      <c r="G33" s="14" t="n">
        <v>0.2</v>
      </c>
      <c r="H33" s="14" t="n">
        <v>0.2</v>
      </c>
      <c r="I33" s="14" t="n">
        <v>0.2</v>
      </c>
      <c r="J33" s="14" t="n">
        <v>0.2</v>
      </c>
      <c r="K33" s="14" t="n">
        <v>0.2</v>
      </c>
      <c r="L33" s="14" t="n">
        <v>0.2</v>
      </c>
      <c r="M33" s="14" t="n">
        <v>0.2</v>
      </c>
      <c r="N33" s="15" t="inlineStr">
        <is>
          <t>Client G</t>
        </is>
      </c>
      <c r="O33" s="15" t="inlineStr">
        <is>
          <t xml:space="preserve">PR </t>
        </is>
      </c>
      <c r="P33" s="15" t="n"/>
      <c r="Q33" s="15" t="n"/>
      <c r="R33" s="15" t="n"/>
      <c r="S33" s="15" t="n"/>
      <c r="T33" s="15" t="inlineStr">
        <is>
          <t>-</t>
        </is>
      </c>
      <c r="U33" s="15" t="n"/>
    </row>
    <row r="34">
      <c r="A34" t="inlineStr">
        <is>
          <t>Masked Person 38</t>
        </is>
      </c>
      <c r="B34" t="inlineStr">
        <is>
          <t>Staff/Assistant 2</t>
        </is>
      </c>
      <c r="C34" s="1" t="inlineStr">
        <is>
          <t>Coming on bench in 4 week(s)</t>
        </is>
      </c>
      <c r="D34" s="1" t="n">
        <v>0.566666666666667</v>
      </c>
      <c r="E34" s="1" t="n">
        <v>0.283333333333333</v>
      </c>
      <c r="F34" s="1" t="n">
        <v>1</v>
      </c>
      <c r="G34" s="14" t="n">
        <v>1</v>
      </c>
      <c r="H34" s="14" t="n">
        <v>1</v>
      </c>
      <c r="I34" s="14" t="n">
        <v>1</v>
      </c>
      <c r="J34" s="14" t="n">
        <v>0.4</v>
      </c>
      <c r="K34" s="14" t="n">
        <v>0</v>
      </c>
      <c r="L34" s="14" t="n">
        <v>0</v>
      </c>
      <c r="M34" s="14" t="n">
        <v>0</v>
      </c>
      <c r="N34" s="15" t="inlineStr">
        <is>
          <t>Jan - June 2026 Client F 100%</t>
        </is>
      </c>
      <c r="O34" t="inlineStr">
        <is>
          <t>Singaporean</t>
        </is>
      </c>
      <c r="P34" s="15" t="inlineStr">
        <is>
          <t>Frontend Developer, AI Developer</t>
        </is>
      </c>
      <c r="Q34" s="10" t="inlineStr">
        <is>
          <t>Python, SQL, TypeScript, React, PostgreSQL, FastAPI, Docker, LangGraph, ThreeJS</t>
        </is>
      </c>
      <c r="R34" s="11" t="inlineStr">
        <is>
          <t>AWS, GCP, Azure, Java, SpringBoot, Hibernate, SalesForce, Git</t>
        </is>
      </c>
      <c r="S34" s="11" t="inlineStr">
        <is>
          <t>Cloud Platforms, MLOps</t>
        </is>
      </c>
      <c r="T34" s="15" t="inlineStr">
        <is>
          <t>Client F - Project F1 - ENG-021</t>
        </is>
      </c>
      <c r="U34" s="15" t="inlineStr">
        <is>
          <t>Masked Person 29</t>
        </is>
      </c>
    </row>
    <row r="35">
      <c r="A35" t="inlineStr">
        <is>
          <t>Masked Person 39</t>
        </is>
      </c>
      <c r="B35" t="inlineStr">
        <is>
          <t>Senior 1</t>
        </is>
      </c>
      <c r="C35" s="1" t="inlineStr">
        <is>
          <t>Coming on bench in 4 week(s)</t>
        </is>
      </c>
      <c r="D35" s="1" t="n">
        <v>0.566666666666667</v>
      </c>
      <c r="E35" s="1" t="n">
        <v>0.283333333333333</v>
      </c>
      <c r="F35" s="1" t="n">
        <v>1.4375</v>
      </c>
      <c r="G35" s="14" t="n">
        <v>1</v>
      </c>
      <c r="H35" s="14" t="n">
        <v>1</v>
      </c>
      <c r="I35" s="14" t="n">
        <v>1</v>
      </c>
      <c r="J35" s="14" t="n">
        <v>0.4</v>
      </c>
      <c r="K35" s="14" t="n">
        <v>0</v>
      </c>
      <c r="L35" s="14" t="n">
        <v>0</v>
      </c>
      <c r="M35" s="14" t="n">
        <v>0</v>
      </c>
      <c r="N35" s="15" t="inlineStr">
        <is>
          <t>Jan - June 2026 Client F 100%</t>
        </is>
      </c>
      <c r="O35" s="15" t="inlineStr">
        <is>
          <t>PR (Chinese)</t>
        </is>
      </c>
      <c r="P35" s="15" t="inlineStr">
        <is>
          <t>AI Scientist</t>
        </is>
      </c>
      <c r="Q35" s="15" t="inlineStr">
        <is>
          <t>Python, PyTorch, TensorFlow, AWS SageMaker, SQL, SAS, PostgreSQL, Java</t>
        </is>
      </c>
      <c r="R35" s="15" t="inlineStr">
        <is>
          <t>React.js, Next.js, FastAPI, OpenCV, Tesseract, Flask, Power BI, MongoDB</t>
        </is>
      </c>
      <c r="S35" s="15" t="inlineStr">
        <is>
          <t>AI Development, LLM, Quantum Machine Learning</t>
        </is>
      </c>
      <c r="T35" s="15" t="inlineStr">
        <is>
          <t>Client F - Project F1 - ENG-021</t>
        </is>
      </c>
      <c r="U35" s="15" t="inlineStr">
        <is>
          <t>Masked Person 29</t>
        </is>
      </c>
    </row>
    <row r="36">
      <c r="A36" t="inlineStr">
        <is>
          <t>Masked Person 40</t>
        </is>
      </c>
      <c r="B36" t="inlineStr">
        <is>
          <t>Senior Manager 3</t>
        </is>
      </c>
      <c r="C36" s="1" t="inlineStr">
        <is>
          <t>Benching for 44 week(s)</t>
        </is>
      </c>
      <c r="D36" s="1" t="n">
        <v>0</v>
      </c>
      <c r="E36" s="1" t="n">
        <v>0</v>
      </c>
      <c r="F36" s="1" t="n">
        <v>0</v>
      </c>
      <c r="G36" s="14" t="n">
        <v>0</v>
      </c>
      <c r="H36" s="14" t="n">
        <v>0</v>
      </c>
      <c r="I36" s="14" t="n">
        <v>0</v>
      </c>
      <c r="J36" s="14" t="n">
        <v>0</v>
      </c>
      <c r="K36" s="14" t="n">
        <v>0</v>
      </c>
      <c r="L36" s="14" t="n">
        <v>0</v>
      </c>
      <c r="M36" s="14" t="n">
        <v>0</v>
      </c>
      <c r="N36" s="17" t="inlineStr">
        <is>
          <t>Project C2</t>
        </is>
      </c>
      <c r="O36" s="17" t="inlineStr">
        <is>
          <t>EP (Indian)</t>
        </is>
      </c>
      <c r="P36" s="17" t="n"/>
      <c r="Q36" s="17" t="inlineStr">
        <is>
          <t>Data Governance</t>
        </is>
      </c>
      <c r="R36" s="17" t="inlineStr">
        <is>
          <t>Data Processing with Python, Databricks</t>
        </is>
      </c>
      <c r="S36" s="17" t="inlineStr">
        <is>
          <t>AI Engineering</t>
        </is>
      </c>
      <c r="T36" s="17" t="inlineStr">
        <is>
          <t>-</t>
        </is>
      </c>
      <c r="U36" s="17" t="n"/>
    </row>
    <row r="37">
      <c r="A37" t="inlineStr">
        <is>
          <t>Masked Person 43</t>
        </is>
      </c>
      <c r="B37" t="inlineStr">
        <is>
          <t>Senior 1</t>
        </is>
      </c>
      <c r="C37" s="1" t="inlineStr">
        <is>
          <t>Coming on bench in 17 week(s)</t>
        </is>
      </c>
      <c r="D37" s="1" t="n">
        <v>1.02326</v>
      </c>
      <c r="E37" s="1" t="n">
        <v>1.02326</v>
      </c>
      <c r="F37" s="1" t="n">
        <v>1.46076</v>
      </c>
      <c r="G37" s="14" t="n">
        <v>1.02326</v>
      </c>
      <c r="H37" s="14" t="n">
        <v>1.02326</v>
      </c>
      <c r="I37" s="14" t="n">
        <v>1.02326</v>
      </c>
      <c r="J37" s="14" t="n">
        <v>1.02326</v>
      </c>
      <c r="K37" s="14" t="n">
        <v>1.02326</v>
      </c>
      <c r="L37" s="14" t="n">
        <v>1.02326</v>
      </c>
      <c r="M37" s="14" t="n">
        <v>1.02326</v>
      </c>
      <c r="N37" s="15" t="inlineStr">
        <is>
          <t>Jan 2026 - May 2026 Client C 100%</t>
        </is>
      </c>
      <c r="O37" s="15" t="inlineStr">
        <is>
          <t xml:space="preserve">PR </t>
        </is>
      </c>
      <c r="P37" s="15" t="inlineStr">
        <is>
          <t>Data Engineer</t>
        </is>
      </c>
      <c r="Q37" s="15" t="inlineStr">
        <is>
          <t>Excel, Synapse, SSMS, SQL, Pyspark, PowerBI</t>
        </is>
      </c>
      <c r="R37" s="15" t="inlineStr">
        <is>
          <t>Azure Data Factory</t>
        </is>
      </c>
      <c r="S37" s="15" t="inlineStr">
        <is>
          <t>Business Analyst</t>
        </is>
      </c>
      <c r="T37" s="15" t="inlineStr">
        <is>
          <t>Client C - Platform C1 - Implementation Release 2 and 3 - ENG-014</t>
        </is>
      </c>
      <c r="U37" t="inlineStr">
        <is>
          <t>Masked Person 61</t>
        </is>
      </c>
    </row>
    <row r="38" ht="29" customHeight="1" s="350">
      <c r="A38" t="inlineStr">
        <is>
          <t>Masked Person 44</t>
        </is>
      </c>
      <c r="B38" t="inlineStr">
        <is>
          <t>Intern (CS) 1</t>
        </is>
      </c>
      <c r="C38" s="1" t="inlineStr">
        <is>
          <t>Benching for 1 week(s)</t>
        </is>
      </c>
      <c r="D38" s="1" t="n">
        <v>0</v>
      </c>
      <c r="E38" s="1" t="n">
        <v>0</v>
      </c>
      <c r="F38" s="1" t="n">
        <v>0</v>
      </c>
      <c r="G38" s="14" t="n">
        <v>0</v>
      </c>
      <c r="H38" s="14" t="n">
        <v>0</v>
      </c>
      <c r="I38" s="14" t="n">
        <v>0</v>
      </c>
      <c r="J38" s="14" t="n">
        <v>0</v>
      </c>
      <c r="K38" s="14" t="n">
        <v>0</v>
      </c>
      <c r="L38" s="14" t="n">
        <v>0</v>
      </c>
      <c r="M38" s="14" t="n">
        <v>0</v>
      </c>
      <c r="N38" s="15" t="inlineStr">
        <is>
          <t>Internship until 30 Apr 2027</t>
        </is>
      </c>
      <c r="O38" s="15" t="n"/>
      <c r="P38" s="15" t="inlineStr">
        <is>
          <t>Data/Business Analyst</t>
        </is>
      </c>
      <c r="Q38" s="16" t="inlineStr">
        <is>
          <t>Python, C, C++, SQL, Agile Framework, 
PostgreSQL, Postman, Excel, Powerpoint</t>
        </is>
      </c>
      <c r="R38" s="15" t="inlineStr">
        <is>
          <t>Machine Learning, Deep Learning, Data Visualisation</t>
        </is>
      </c>
      <c r="S38" s="15" t="inlineStr">
        <is>
          <t>Data Scientist/ ML Engineer</t>
        </is>
      </c>
      <c r="T38" s="15" t="n"/>
    </row>
    <row r="39">
      <c r="A39" t="inlineStr">
        <is>
          <t>Masked Person 45</t>
        </is>
      </c>
      <c r="B39" t="inlineStr">
        <is>
          <t>Intern (CS) 1</t>
        </is>
      </c>
      <c r="C39" s="1" t="inlineStr">
        <is>
          <t>Coming on bench in 15 week(s)</t>
        </is>
      </c>
      <c r="D39" s="1" t="n">
        <v>1.03191</v>
      </c>
      <c r="E39" s="1" t="n">
        <v>1.03191</v>
      </c>
      <c r="F39" s="1" t="n">
        <v>1.03191</v>
      </c>
      <c r="G39" s="14" t="n">
        <v>1.03191</v>
      </c>
      <c r="H39" s="14" t="n">
        <v>1.03191</v>
      </c>
      <c r="I39" s="14" t="n">
        <v>1.03191</v>
      </c>
      <c r="J39" s="14" t="n">
        <v>1.03191</v>
      </c>
      <c r="K39" s="14" t="n">
        <v>1.03191</v>
      </c>
      <c r="L39" s="14" t="n">
        <v>1.03191</v>
      </c>
      <c r="M39" s="14" t="n">
        <v>1.03191</v>
      </c>
      <c r="N39" s="15" t="inlineStr">
        <is>
          <t>May - June 2026 - Client I 100%</t>
        </is>
      </c>
      <c r="O39" s="15" t="n"/>
      <c r="P39" s="15" t="inlineStr">
        <is>
          <t>Full Stack Developer</t>
        </is>
      </c>
      <c r="Q39" s="15" t="inlineStr">
        <is>
          <t xml:space="preserve">React, Node.js, JavaScript, REST APIs, HTML, CSS </t>
        </is>
      </c>
      <c r="R39" s="15" t="inlineStr">
        <is>
          <t>Python, SQL, Git, AI Tools (Claude, GPT), Cloud</t>
        </is>
      </c>
      <c r="S39" s="15" t="inlineStr">
        <is>
          <t>Product Manager</t>
        </is>
      </c>
      <c r="T39" s="15" t="n"/>
      <c r="U39" s="15" t="inlineStr">
        <is>
          <t>Masked Person 29</t>
        </is>
      </c>
    </row>
    <row r="40">
      <c r="A40" t="inlineStr">
        <is>
          <t>Masked Person 46</t>
        </is>
      </c>
      <c r="B40" t="inlineStr">
        <is>
          <t>Senior 2</t>
        </is>
      </c>
      <c r="C40" s="1" t="inlineStr">
        <is>
          <t>Coming on bench in 4 week(s)</t>
        </is>
      </c>
      <c r="D40" s="1" t="n">
        <v>1</v>
      </c>
      <c r="E40" s="1" t="n">
        <v>1</v>
      </c>
      <c r="F40" s="1" t="n">
        <v>1</v>
      </c>
      <c r="G40" s="14" t="n">
        <v>1</v>
      </c>
      <c r="H40" s="14" t="n">
        <v>1</v>
      </c>
      <c r="I40" s="14" t="n">
        <v>1</v>
      </c>
      <c r="J40" s="14" t="n">
        <v>1</v>
      </c>
      <c r="K40" s="14" t="n">
        <v>1</v>
      </c>
      <c r="L40" s="14" t="n">
        <v>1</v>
      </c>
      <c r="M40" s="14" t="n">
        <v>1</v>
      </c>
      <c r="N40" s="15" t="inlineStr">
        <is>
          <t>Jan - Dec 2026 Client B100%</t>
        </is>
      </c>
      <c r="O40" s="15" t="inlineStr">
        <is>
          <t>Singaporean</t>
        </is>
      </c>
      <c r="P40" s="15" t="inlineStr">
        <is>
          <t>Data Engineer</t>
        </is>
      </c>
      <c r="Q40" s="15" t="inlineStr">
        <is>
          <t>SAS, SQL, Power BI, Python</t>
        </is>
      </c>
      <c r="R40" s="15" t="inlineStr">
        <is>
          <t>Alibaba's Platform for AI</t>
        </is>
      </c>
      <c r="S40" s="15" t="inlineStr">
        <is>
          <t>Data Scientist, Business Analyst</t>
        </is>
      </c>
      <c r="T40" s="15" t="inlineStr">
        <is>
          <t>Client B - System B1 SR 2025 &amp; 2026 - ENG-009</t>
        </is>
      </c>
      <c r="U40" t="inlineStr">
        <is>
          <t>Masked Person 11</t>
        </is>
      </c>
    </row>
    <row r="41">
      <c r="A41" t="inlineStr">
        <is>
          <t>Masked Person 47</t>
        </is>
      </c>
      <c r="B41" t="inlineStr">
        <is>
          <t>Staff/Assistant 1</t>
        </is>
      </c>
      <c r="C41" s="1" t="inlineStr">
        <is>
          <t>Coming on bench in 4 week(s)</t>
        </is>
      </c>
      <c r="D41" s="1" t="n">
        <v>1</v>
      </c>
      <c r="E41" s="1" t="n">
        <v>1</v>
      </c>
      <c r="F41" s="1" t="n">
        <v>1</v>
      </c>
      <c r="G41" s="14" t="n">
        <v>1</v>
      </c>
      <c r="H41" s="14" t="n">
        <v>1</v>
      </c>
      <c r="I41" s="14" t="n">
        <v>1</v>
      </c>
      <c r="J41" s="14" t="n">
        <v>1</v>
      </c>
      <c r="K41" s="14" t="n">
        <v>1</v>
      </c>
      <c r="L41" s="14" t="n">
        <v>1</v>
      </c>
      <c r="M41" s="14" t="n">
        <v>1</v>
      </c>
      <c r="N41" s="15" t="inlineStr">
        <is>
          <t>Jan 2026 - Oct 2026 Client E 200%</t>
        </is>
      </c>
      <c r="O41" s="15" t="inlineStr">
        <is>
          <t xml:space="preserve">EP </t>
        </is>
      </c>
      <c r="P41" s="15" t="inlineStr">
        <is>
          <t>Data Scientist</t>
        </is>
      </c>
      <c r="Q41" s="15" t="inlineStr">
        <is>
          <t>Python, SQL, R, Git, Github, Azure, Databricks, Docker, Databases (MySQL,, MongoDB, PostgreSQL, Snowflake), Power BI, Microsoft Fabric, Scikit Learn</t>
        </is>
      </c>
      <c r="R41" s="15" t="inlineStr">
        <is>
          <t>Spark (PySpark, Spark SQL), SQL Server, Tableau, Google Looker, PyTorch</t>
        </is>
      </c>
      <c r="S41" s="15" t="inlineStr">
        <is>
          <t>Data Engineer, Big Data</t>
        </is>
      </c>
      <c r="T41" s="15" t="inlineStr">
        <is>
          <t>HOUSING &amp; DEVELOPMENT BOARD - Client E System E1 Support - ENG-005</t>
        </is>
      </c>
      <c r="U41" s="15" t="n"/>
    </row>
    <row r="42" ht="29" customHeight="1" s="350">
      <c r="A42" t="inlineStr">
        <is>
          <t>Masked Person 49</t>
        </is>
      </c>
      <c r="B42" t="inlineStr">
        <is>
          <t>Intern (CS) 1</t>
        </is>
      </c>
      <c r="C42" s="1" t="inlineStr">
        <is>
          <t>Coming on bench in 47 week(s)</t>
        </is>
      </c>
      <c r="D42" s="1" t="n">
        <v>1.04508</v>
      </c>
      <c r="E42" s="1" t="n">
        <v>1.04508</v>
      </c>
      <c r="F42" s="1" t="n">
        <v>1.04508</v>
      </c>
      <c r="G42" s="14" t="n">
        <v>1.04508</v>
      </c>
      <c r="H42" s="14" t="n">
        <v>1.04508</v>
      </c>
      <c r="I42" s="14" t="n">
        <v>1.04508</v>
      </c>
      <c r="J42" s="14" t="n">
        <v>1.04508</v>
      </c>
      <c r="K42" s="14" t="n">
        <v>1.04508</v>
      </c>
      <c r="L42" s="14" t="n">
        <v>1.04508</v>
      </c>
      <c r="M42" s="14" t="n">
        <v>1.04508</v>
      </c>
      <c r="N42" s="16" t="inlineStr">
        <is>
          <t>May 2026 - Apr 2027 - Client A 100%
Internship until April 2027</t>
        </is>
      </c>
      <c r="O42" s="15" t="n"/>
      <c r="P42" s="15" t="inlineStr">
        <is>
          <t>Data Engineer</t>
        </is>
      </c>
      <c r="Q42" s="15" t="inlineStr">
        <is>
          <t>Python, SQL, Excel, PySpark</t>
        </is>
      </c>
      <c r="R42" s="15" t="inlineStr">
        <is>
          <t>GCP, Git, Azure</t>
        </is>
      </c>
      <c r="S42" s="15" t="inlineStr">
        <is>
          <t>Data engineer, Data Analyst</t>
        </is>
      </c>
      <c r="T42" s="15" t="inlineStr">
        <is>
          <t>Client A - Platform A1 (GovCloud) - ENG-017</t>
        </is>
      </c>
      <c r="U42" s="15" t="inlineStr">
        <is>
          <t>Masked Person 1</t>
        </is>
      </c>
    </row>
    <row r="43" ht="29" customHeight="1" s="350">
      <c r="A43" t="inlineStr">
        <is>
          <t>Masked Person 50</t>
        </is>
      </c>
      <c r="B43" t="inlineStr">
        <is>
          <t>Senior 3</t>
        </is>
      </c>
      <c r="C43" s="1" t="inlineStr">
        <is>
          <t>Benching for 5 week(s)</t>
        </is>
      </c>
      <c r="D43" s="1" t="n">
        <v>0</v>
      </c>
      <c r="E43" s="1" t="n">
        <v>0</v>
      </c>
      <c r="F43" s="1" t="n">
        <v>0</v>
      </c>
      <c r="G43" s="14" t="n">
        <v>0</v>
      </c>
      <c r="H43" s="14" t="n">
        <v>0</v>
      </c>
      <c r="I43" s="14" t="n">
        <v>0</v>
      </c>
      <c r="J43" s="14" t="n">
        <v>0</v>
      </c>
      <c r="K43" s="14" t="n">
        <v>0</v>
      </c>
      <c r="L43" s="14" t="n">
        <v>0</v>
      </c>
      <c r="M43" s="14" t="n">
        <v>0</v>
      </c>
      <c r="N43" s="19" t="inlineStr">
        <is>
          <t>Apr until 2028 - Client C 25%
Apr - Dec 2026 - Client A 10%</t>
        </is>
      </c>
      <c r="O43" s="15" t="inlineStr">
        <is>
          <t>EP</t>
        </is>
      </c>
      <c r="P43" s="15" t="inlineStr">
        <is>
          <t>Data Platform &amp; MLOps Engineer</t>
        </is>
      </c>
      <c r="Q43" s="15" t="inlineStr">
        <is>
          <t>Cloud &amp; Platforms, DevOps &amp; IaC, Monitoring &amp; Ops, Enterprise Platforms</t>
        </is>
      </c>
      <c r="R43" s="15" t="inlineStr">
        <is>
          <t>Data Platforms, Networking &amp; Security, Automation &amp; Scripting, Storage</t>
        </is>
      </c>
      <c r="S43" s="15" t="inlineStr">
        <is>
          <t>Cloud DevOps Platform Engineering</t>
        </is>
      </c>
      <c r="T43" s="15" t="inlineStr">
        <is>
          <t>Client G S/4HANA Implementation - ENG-016</t>
        </is>
      </c>
      <c r="U43" t="inlineStr">
        <is>
          <t>Masked Person 37</t>
        </is>
      </c>
    </row>
    <row r="44" ht="29" customHeight="1" s="350">
      <c r="A44" t="inlineStr">
        <is>
          <t>Masked Person 51</t>
        </is>
      </c>
      <c r="B44" t="inlineStr">
        <is>
          <t>Intern (CS) 1</t>
        </is>
      </c>
      <c r="C44" s="1" t="inlineStr">
        <is>
          <t>Benching for 3 week(s)</t>
        </is>
      </c>
      <c r="D44" s="1" t="n">
        <v>0</v>
      </c>
      <c r="E44" s="1" t="n">
        <v>0</v>
      </c>
      <c r="F44" s="1" t="n">
        <v>0</v>
      </c>
      <c r="G44" s="14" t="n">
        <v>0</v>
      </c>
      <c r="H44" s="14" t="n">
        <v>0</v>
      </c>
      <c r="I44" s="14" t="n">
        <v>0</v>
      </c>
      <c r="J44" s="14" t="n">
        <v>0</v>
      </c>
      <c r="K44" s="14" t="n">
        <v>0</v>
      </c>
      <c r="L44" s="14" t="n">
        <v>0</v>
      </c>
      <c r="M44" s="14" t="n">
        <v>0</v>
      </c>
      <c r="N44" s="16" t="inlineStr">
        <is>
          <t>Client E
Internship until Dec 2026</t>
        </is>
      </c>
      <c r="O44" s="15" t="n"/>
      <c r="P44" s="16" t="inlineStr">
        <is>
          <t>AI Developer</t>
        </is>
      </c>
      <c r="Q44" s="15" t="inlineStr">
        <is>
          <t>Python, C, java, Linux</t>
        </is>
      </c>
      <c r="R44" s="15" t="inlineStr">
        <is>
          <t>SQL, Snowflake</t>
        </is>
      </c>
      <c r="S44" s="15" t="inlineStr">
        <is>
          <t>Gen AI Engineer</t>
        </is>
      </c>
      <c r="T44" s="15" t="n"/>
    </row>
    <row r="45">
      <c r="A45" t="inlineStr">
        <is>
          <t>Masked Person 53</t>
        </is>
      </c>
      <c r="B45" t="inlineStr">
        <is>
          <t>Senior 1</t>
        </is>
      </c>
      <c r="C45" s="1" t="inlineStr">
        <is>
          <t>Coming on bench in 4 week(s)</t>
        </is>
      </c>
      <c r="D45" s="1" t="n">
        <v>1</v>
      </c>
      <c r="E45" s="1" t="n">
        <v>1</v>
      </c>
      <c r="F45" s="1" t="n">
        <v>1</v>
      </c>
      <c r="G45" s="14" t="n">
        <v>1</v>
      </c>
      <c r="H45" s="14" t="n">
        <v>1</v>
      </c>
      <c r="I45" s="14" t="n">
        <v>1</v>
      </c>
      <c r="J45" s="14" t="n">
        <v>1</v>
      </c>
      <c r="K45" s="14" t="n">
        <v>1</v>
      </c>
      <c r="L45" s="14" t="n">
        <v>1</v>
      </c>
      <c r="M45" s="14" t="n">
        <v>1</v>
      </c>
      <c r="N45" s="15" t="inlineStr">
        <is>
          <t>Jan - Dec 2026 Client B 100%</t>
        </is>
      </c>
      <c r="O45" s="15" t="inlineStr">
        <is>
          <t xml:space="preserve">PR </t>
        </is>
      </c>
      <c r="P45" s="15" t="inlineStr">
        <is>
          <t>Infrastructure &amp; Platform Engineer</t>
        </is>
      </c>
      <c r="Q45" s="15" t="inlineStr">
        <is>
          <t>RHEL, SQL, Hyper-V, CIS, Nessus / VAPT remediation, Bash, PowerShell, AWS</t>
        </is>
      </c>
      <c r="R45" s="15" t="inlineStr">
        <is>
          <t>Azure, Nutanix, Ansible, SAS 9.4, SAS Viya 3.5, Splunk, NetBackup, Commvault, Windows Server administration</t>
        </is>
      </c>
      <c r="S45" s="15" t="inlineStr">
        <is>
          <t>Data Solution Architect</t>
        </is>
      </c>
      <c r="T45" s="15" t="inlineStr">
        <is>
          <t>Client B - System B1 Maintenance Yr 4 - ENG-013
Client B - System B1 Maintenance &amp; Support YR 2 to 5 - ENG-006</t>
        </is>
      </c>
      <c r="U45" t="inlineStr">
        <is>
          <t>Masked Person 11</t>
        </is>
      </c>
    </row>
    <row r="46">
      <c r="A46" t="inlineStr">
        <is>
          <t>Masked Person 54</t>
        </is>
      </c>
      <c r="B46" t="inlineStr">
        <is>
          <t>Senior 2</t>
        </is>
      </c>
      <c r="C46" s="1" t="inlineStr">
        <is>
          <t>Coming on bench in 4 week(s)</t>
        </is>
      </c>
      <c r="D46" s="1" t="n">
        <v>0.9191</v>
      </c>
      <c r="E46" s="1" t="n">
        <v>0.93825</v>
      </c>
      <c r="F46" s="1" t="n">
        <v>1.1489</v>
      </c>
      <c r="G46" s="14" t="n">
        <v>0.9191</v>
      </c>
      <c r="H46" s="14" t="n">
        <v>0.9191</v>
      </c>
      <c r="I46" s="14" t="n">
        <v>0.9191</v>
      </c>
      <c r="J46" s="14" t="n">
        <v>0.9191</v>
      </c>
      <c r="K46" s="14" t="n">
        <v>0.9191</v>
      </c>
      <c r="L46" s="14" t="n">
        <v>0.9191</v>
      </c>
      <c r="M46" s="14" t="n">
        <v>0.9191</v>
      </c>
      <c r="N46" s="15" t="inlineStr">
        <is>
          <t>Jan 2026 - Oct 2026 Client E 20%
Jan - Mar 2026 - Client C 80%</t>
        </is>
      </c>
      <c r="O46" s="15" t="inlineStr">
        <is>
          <t>Singaporean</t>
        </is>
      </c>
      <c r="P46" s="15" t="inlineStr">
        <is>
          <t>Azure ML Developer</t>
        </is>
      </c>
      <c r="Q46" s="15" t="inlineStr">
        <is>
          <t>Azure ML, Azure Services, Python, Git</t>
        </is>
      </c>
      <c r="R46" s="15" t="inlineStr">
        <is>
          <t>Agentic AI, CI/CD on gitlab, Unit Tests</t>
        </is>
      </c>
      <c r="S46" s="15" t="inlineStr">
        <is>
          <t>AI Engineer</t>
        </is>
      </c>
      <c r="T46" s="15" t="inlineStr">
        <is>
          <t>Client C - Platform C1 - Implementation Release 2 and 3 - ENG-014
HOUSING &amp; DEVELOPMENT BOARD - Client E System E1 Support - ENG-005</t>
        </is>
      </c>
      <c r="U46" t="inlineStr">
        <is>
          <t>Masked Person 61</t>
        </is>
      </c>
    </row>
    <row r="47">
      <c r="A47" t="inlineStr">
        <is>
          <t>Masked Person 55</t>
        </is>
      </c>
      <c r="B47" t="inlineStr">
        <is>
          <t>Manager 3</t>
        </is>
      </c>
      <c r="C47" s="1" t="inlineStr">
        <is>
          <t>Coming on bench in 8 week(s)</t>
        </is>
      </c>
      <c r="D47" s="1" t="n">
        <v>0.621818</v>
      </c>
      <c r="E47" s="1" t="n">
        <v>0.414545333333333</v>
      </c>
      <c r="F47" s="1" t="n">
        <v>0.621818</v>
      </c>
      <c r="G47" s="14" t="n">
        <v>0.621818</v>
      </c>
      <c r="H47" s="14" t="n">
        <v>0.621818</v>
      </c>
      <c r="I47" s="14" t="n">
        <v>0.621818</v>
      </c>
      <c r="J47" s="14" t="n">
        <v>0.621818</v>
      </c>
      <c r="K47" s="14" t="n">
        <v>0.621818</v>
      </c>
      <c r="L47" s="14" t="n">
        <v>0.621818</v>
      </c>
      <c r="M47" s="14" t="n">
        <v>0.621818</v>
      </c>
      <c r="N47" s="15" t="inlineStr">
        <is>
          <t>Jan - Aug 2026 - Platform C1 100%</t>
        </is>
      </c>
      <c r="O47" s="15" t="inlineStr">
        <is>
          <t xml:space="preserve">PR </t>
        </is>
      </c>
      <c r="P47" s="15" t="inlineStr">
        <is>
          <t>Technical Lead</t>
        </is>
      </c>
      <c r="Q47" s="15" t="inlineStr">
        <is>
          <t>AWS, Azure, Hadoop, Cloudera, Azure Synapse Analytics</t>
        </is>
      </c>
      <c r="R47" s="15" t="inlineStr">
        <is>
          <t>Microsoft SQL Server, Java, Visual Basic, Git, PySpark</t>
        </is>
      </c>
      <c r="S47" s="15" t="inlineStr">
        <is>
          <t>-</t>
        </is>
      </c>
      <c r="T47" s="15" t="inlineStr">
        <is>
          <t>Client C - Platform C1 - Implementation Release 2 and 3 - ENG-014</t>
        </is>
      </c>
      <c r="U47" t="inlineStr">
        <is>
          <t>Masked Person 61</t>
        </is>
      </c>
    </row>
    <row r="48">
      <c r="A48" t="inlineStr">
        <is>
          <t>Masked Person 57</t>
        </is>
      </c>
      <c r="B48" t="inlineStr">
        <is>
          <t>Manager 3</t>
        </is>
      </c>
      <c r="C48" s="1" t="inlineStr">
        <is>
          <t>Coming on bench in 4 week(s)</t>
        </is>
      </c>
      <c r="D48" s="1" t="n">
        <v>0.554861333333333</v>
      </c>
      <c r="E48" s="1" t="n">
        <v>0.277430666666667</v>
      </c>
      <c r="F48" s="1" t="n">
        <v>0.979167</v>
      </c>
      <c r="G48" s="14" t="n">
        <v>0.979167</v>
      </c>
      <c r="H48" s="14" t="n">
        <v>0.979167</v>
      </c>
      <c r="I48" s="14" t="n">
        <v>0.979167</v>
      </c>
      <c r="J48" s="14" t="n">
        <v>0.391667</v>
      </c>
      <c r="K48" s="14" t="n">
        <v>0</v>
      </c>
      <c r="L48" s="14" t="n">
        <v>0</v>
      </c>
      <c r="M48" s="14" t="n">
        <v>0</v>
      </c>
      <c r="N48" s="15" t="inlineStr">
        <is>
          <t>Jan - Dec 2026 - Client K</t>
        </is>
      </c>
      <c r="O48" s="15" t="inlineStr">
        <is>
          <t xml:space="preserve">EP </t>
        </is>
      </c>
      <c r="P48" s="15" t="inlineStr">
        <is>
          <t>Project Manager for transformation to Onstream for financial accounting of Client K</t>
        </is>
      </c>
      <c r="Q48" s="15" t="inlineStr">
        <is>
          <t>SAP, Tricentis and HP project management tools</t>
        </is>
      </c>
      <c r="R48" s="15" t="inlineStr">
        <is>
          <t>Onestream, Outsystems, LoadRunner, Katalon</t>
        </is>
      </c>
      <c r="S48" s="15" t="inlineStr">
        <is>
          <t>Data Governance</t>
        </is>
      </c>
      <c r="T48" s="15" t="inlineStr">
        <is>
          <t>Client K XP&amp;A_CNS_FY26 - ENG-015</t>
        </is>
      </c>
      <c r="U48" s="15" t="n"/>
    </row>
    <row r="49">
      <c r="A49" t="inlineStr">
        <is>
          <t>Masked Person 59</t>
        </is>
      </c>
      <c r="B49" t="inlineStr">
        <is>
          <t>Staff/Assistant 2</t>
        </is>
      </c>
      <c r="C49" s="1" t="inlineStr">
        <is>
          <t>Coming on bench in 4 week(s)</t>
        </is>
      </c>
      <c r="D49" s="1" t="n">
        <v>0.566666666666667</v>
      </c>
      <c r="E49" s="1" t="n">
        <v>0.283333333333333</v>
      </c>
      <c r="F49" s="1" t="n">
        <v>1</v>
      </c>
      <c r="G49" s="14" t="n">
        <v>1</v>
      </c>
      <c r="H49" s="14" t="n">
        <v>1</v>
      </c>
      <c r="I49" s="14" t="n">
        <v>1</v>
      </c>
      <c r="J49" s="14" t="n">
        <v>0.4</v>
      </c>
      <c r="K49" s="14" t="n">
        <v>0</v>
      </c>
      <c r="L49" s="14" t="n">
        <v>0</v>
      </c>
      <c r="M49" s="14" t="n">
        <v>0</v>
      </c>
      <c r="N49" s="15" t="inlineStr">
        <is>
          <t>Jan - Dec 2026 - Client A 100%</t>
        </is>
      </c>
      <c r="O49" s="15" t="inlineStr">
        <is>
          <t>LTVP (Indian)</t>
        </is>
      </c>
      <c r="P49" s="15" t="inlineStr">
        <is>
          <t>Data Engineer</t>
        </is>
      </c>
      <c r="Q49" s="15" t="inlineStr">
        <is>
          <t>PySpark, Azure Data Factory</t>
        </is>
      </c>
      <c r="R49" s="15" t="inlineStr">
        <is>
          <t>Azure Cloud, SQL</t>
        </is>
      </c>
      <c r="S49" s="15" t="inlineStr">
        <is>
          <t>Data Engineer</t>
        </is>
      </c>
      <c r="T49" s="15" t="inlineStr">
        <is>
          <t>Client A - Platform A1 (GovCloud) - ENG-017</t>
        </is>
      </c>
      <c r="U49" s="15" t="inlineStr">
        <is>
          <t>Masked Person 1</t>
        </is>
      </c>
    </row>
    <row r="50">
      <c r="A50" t="inlineStr">
        <is>
          <t>Masked Person 60</t>
        </is>
      </c>
      <c r="B50" t="inlineStr">
        <is>
          <t>Senior 3</t>
        </is>
      </c>
      <c r="C50" s="1" t="inlineStr">
        <is>
          <t>Coming on bench in 4 week(s)</t>
        </is>
      </c>
      <c r="D50" s="1" t="n">
        <v>0.591305166666667</v>
      </c>
      <c r="E50" s="1" t="n">
        <v>0.295652583333333</v>
      </c>
      <c r="F50" s="1" t="n">
        <v>1.04348</v>
      </c>
      <c r="G50" s="14" t="n">
        <v>1.04348</v>
      </c>
      <c r="H50" s="14" t="n">
        <v>1.04348</v>
      </c>
      <c r="I50" s="14" t="n">
        <v>1.04348</v>
      </c>
      <c r="J50" s="14" t="n">
        <v>0.417391</v>
      </c>
      <c r="K50" s="14" t="n">
        <v>0</v>
      </c>
      <c r="L50" s="14" t="n">
        <v>0</v>
      </c>
      <c r="M50" s="14" t="n">
        <v>0</v>
      </c>
      <c r="N50" s="15" t="inlineStr">
        <is>
          <t>Jan 2026 - Apr 2026 Client C 100%</t>
        </is>
      </c>
      <c r="O50" s="15" t="inlineStr">
        <is>
          <t>EP</t>
        </is>
      </c>
      <c r="P50" s="15" t="inlineStr">
        <is>
          <t>Technical Lead</t>
        </is>
      </c>
      <c r="Q50" s="15" t="inlineStr">
        <is>
          <t>Python, Java, Kotlin, JavaScript, TypeScript, Docker, SQL, No SQL
Fullstack Development with React FEs, Backend with Python, Node, Java, etc.
Android Application Development with Kotlin &amp; Java. Android Native with C++
Cloud: Azure
AI/ML: Pytorch, and pytorch based python libraries like OpenMMLabs, ultralytics etc. AI on Edge (Android, OnPrem: TensorRT)
LLM: Ollama, Langchain, LangGraph, etc.
Containerization and Orchestration: Docker, Kubernetes</t>
        </is>
      </c>
      <c r="R50" s="15" t="inlineStr">
        <is>
          <t>Cloud: AWS
Data Engineering: PySpark, Synapse Analytics, Snowflake, Data Bricks
IAC: Terraform</t>
        </is>
      </c>
      <c r="S50" s="15" t="inlineStr">
        <is>
          <t>AI Solution Architect</t>
        </is>
      </c>
      <c r="T50" s="15" t="inlineStr">
        <is>
          <t>Client C - Platform C1 - Implementation Release 2 and 3 - ENG-014</t>
        </is>
      </c>
      <c r="U50" t="inlineStr">
        <is>
          <t>Masked Person 61</t>
        </is>
      </c>
    </row>
    <row r="51">
      <c r="A51" t="inlineStr">
        <is>
          <t>Masked Person 61</t>
        </is>
      </c>
      <c r="B51" t="inlineStr">
        <is>
          <t>Senior Manager 3</t>
        </is>
      </c>
      <c r="C51" s="1" t="inlineStr">
        <is>
          <t>Benching for 9 week(s)</t>
        </is>
      </c>
      <c r="D51" s="1" t="n">
        <v>0</v>
      </c>
      <c r="E51" s="1" t="n">
        <v>0</v>
      </c>
      <c r="F51" s="1" t="n">
        <v>0</v>
      </c>
      <c r="G51" s="14" t="n">
        <v>0</v>
      </c>
      <c r="H51" s="14" t="n">
        <v>0</v>
      </c>
      <c r="I51" s="14" t="n">
        <v>0</v>
      </c>
      <c r="J51" s="14" t="n">
        <v>0</v>
      </c>
      <c r="K51" s="14" t="n">
        <v>0</v>
      </c>
      <c r="L51" s="14" t="n">
        <v>0</v>
      </c>
      <c r="M51" s="14" t="n">
        <v>0</v>
      </c>
      <c r="N51" s="17" t="inlineStr">
        <is>
          <t>Platform C1</t>
        </is>
      </c>
      <c r="O51" s="17" t="inlineStr">
        <is>
          <t>EP</t>
        </is>
      </c>
      <c r="P51" s="17" t="n"/>
      <c r="Q51" s="17" t="inlineStr">
        <is>
          <t>Project Management, Data Modeling, Data Governance, Pre-sales solution</t>
        </is>
      </c>
      <c r="R51" s="17" t="inlineStr">
        <is>
          <t>Solution  Architecture</t>
        </is>
      </c>
      <c r="S51" s="17" t="inlineStr">
        <is>
          <t>Data Practice management</t>
        </is>
      </c>
      <c r="T51" s="17" t="inlineStr">
        <is>
          <t>Client C - Platform C1 - Implementation Release 2 and 3 - ENG-014</t>
        </is>
      </c>
      <c r="U51" s="9" t="inlineStr">
        <is>
          <t>Masked Person 61</t>
        </is>
      </c>
    </row>
    <row r="52">
      <c r="A52" t="inlineStr">
        <is>
          <t>Masked Person 62</t>
        </is>
      </c>
      <c r="B52" t="inlineStr">
        <is>
          <t>Intern (CS) 1</t>
        </is>
      </c>
      <c r="C52" s="1" t="inlineStr">
        <is>
          <t>Coming on bench in 8 week(s)</t>
        </is>
      </c>
      <c r="D52" s="1" t="n">
        <v>1.04255</v>
      </c>
      <c r="E52" s="1" t="n">
        <v>0.6950333333333329</v>
      </c>
      <c r="F52" s="1" t="n">
        <v>1.04255</v>
      </c>
      <c r="G52" s="14" t="n">
        <v>1.04255</v>
      </c>
      <c r="H52" s="14" t="n">
        <v>1.04255</v>
      </c>
      <c r="I52" s="14" t="n">
        <v>1.04255</v>
      </c>
      <c r="J52" s="14" t="n">
        <v>1.04255</v>
      </c>
      <c r="K52" s="14" t="n">
        <v>1.04255</v>
      </c>
      <c r="L52" s="14" t="n">
        <v>1.04255</v>
      </c>
      <c r="M52" s="14" t="n">
        <v>1.04255</v>
      </c>
      <c r="N52" s="15" t="inlineStr">
        <is>
          <t>Jan - July 2026 - Client C
Internship until 31 July</t>
        </is>
      </c>
      <c r="O52" s="15" t="inlineStr">
        <is>
          <t>EP</t>
        </is>
      </c>
      <c r="P52" s="15" t="n"/>
      <c r="Q52" s="15" t="inlineStr">
        <is>
          <t>Python, SQL, PowerBI</t>
        </is>
      </c>
      <c r="R52" s="15" t="inlineStr">
        <is>
          <t>Java, Azure, Github</t>
        </is>
      </c>
      <c r="S52" s="15" t="inlineStr">
        <is>
          <t>Data Analyst</t>
        </is>
      </c>
      <c r="T52" s="15" t="inlineStr">
        <is>
          <t>Client C - Platform C1 - Implementation Release 2 and 3 - ENG-014</t>
        </is>
      </c>
      <c r="U52" t="inlineStr">
        <is>
          <t>Masked Person 61</t>
        </is>
      </c>
    </row>
    <row r="53">
      <c r="A53" t="inlineStr">
        <is>
          <t>Masked Person 63</t>
        </is>
      </c>
      <c r="B53" t="inlineStr">
        <is>
          <t>Staff/Assistant 2</t>
        </is>
      </c>
      <c r="C53" s="1" t="inlineStr">
        <is>
          <t>Coming on bench in 4 week(s)</t>
        </is>
      </c>
      <c r="D53" s="1" t="n">
        <v>1.02042</v>
      </c>
      <c r="E53" s="1" t="n">
        <v>1.02041083333333</v>
      </c>
      <c r="F53" s="1" t="n">
        <v>1.02031</v>
      </c>
      <c r="G53" s="14" t="n">
        <v>1.02042</v>
      </c>
      <c r="H53" s="14" t="n">
        <v>1.02042</v>
      </c>
      <c r="I53" s="14" t="n">
        <v>1.02042</v>
      </c>
      <c r="J53" s="14" t="n">
        <v>1.02042</v>
      </c>
      <c r="K53" s="14" t="n">
        <v>1.02042</v>
      </c>
      <c r="L53" s="14" t="n">
        <v>1.02042</v>
      </c>
      <c r="M53" s="14" t="n">
        <v>1.02042</v>
      </c>
      <c r="N53" s="15" t="inlineStr">
        <is>
          <t>Jan - Dec 2026 Client B 100%</t>
        </is>
      </c>
      <c r="O53" s="15" t="inlineStr">
        <is>
          <t>Singaporean</t>
        </is>
      </c>
      <c r="P53" s="15" t="inlineStr">
        <is>
          <t>Data Engineer</t>
        </is>
      </c>
      <c r="Q53" s="15" t="inlineStr">
        <is>
          <t>SQL (MSSQL, Postgres), SAS, Linux, Tableau, Metabase, SAS, Microsoft Office, Google Suite</t>
        </is>
      </c>
      <c r="R53" s="15" t="inlineStr">
        <is>
          <t>Neo4j, Python, Neo4j (console, browser, Bloom), VS Studio, Github, Confluence, Figma, Canva, JIRA</t>
        </is>
      </c>
      <c r="S53" s="15" t="inlineStr">
        <is>
          <t>Data Engineer</t>
        </is>
      </c>
      <c r="T53" s="15" t="inlineStr">
        <is>
          <t>Client B - System B1 Maintenance &amp; Support YR 2 to 5 - ENG-006</t>
        </is>
      </c>
      <c r="U53" t="inlineStr">
        <is>
          <t>Masked Person 11</t>
        </is>
      </c>
    </row>
    <row r="54">
      <c r="A54" t="inlineStr">
        <is>
          <t>Masked Person 64</t>
        </is>
      </c>
      <c r="B54" t="inlineStr">
        <is>
          <t>Intern (CS) 1</t>
        </is>
      </c>
      <c r="C54" s="1" t="inlineStr">
        <is>
          <t>Benching for 1 week(s)</t>
        </is>
      </c>
      <c r="D54" s="1" t="n">
        <v>0</v>
      </c>
      <c r="E54" s="1" t="n">
        <v>0</v>
      </c>
      <c r="F54" s="1" t="n">
        <v>0</v>
      </c>
      <c r="G54" s="14" t="n">
        <v>0</v>
      </c>
      <c r="H54" s="14" t="n">
        <v>0</v>
      </c>
      <c r="I54" s="14" t="n">
        <v>0</v>
      </c>
      <c r="J54" s="14" t="n">
        <v>0</v>
      </c>
      <c r="K54" s="14" t="n">
        <v>0</v>
      </c>
      <c r="L54" s="14" t="n">
        <v>0</v>
      </c>
      <c r="M54" s="14" t="n">
        <v>0</v>
      </c>
      <c r="N54" s="18" t="inlineStr">
        <is>
          <t>Internship until 11 Dec</t>
        </is>
      </c>
      <c r="O54" s="15" t="n"/>
      <c r="P54" s="15" t="n"/>
      <c r="Q54" s="15" t="inlineStr">
        <is>
          <t>Java, Python, TypeScript, React Native, PostgreSQL</t>
        </is>
      </c>
      <c r="R54" s="15" t="inlineStr">
        <is>
          <t>AI, Deep Learning, Data Modelling, Machine Learning</t>
        </is>
      </c>
      <c r="S54" s="15" t="inlineStr">
        <is>
          <t>GenAI/AI Engineer, AI Analytics</t>
        </is>
      </c>
      <c r="T54" s="15" t="n"/>
    </row>
    <row r="55">
      <c r="A55" t="inlineStr">
        <is>
          <t>Masked Person 66</t>
        </is>
      </c>
      <c r="B55" t="inlineStr">
        <is>
          <t>Intern (CS) 1</t>
        </is>
      </c>
      <c r="C55" s="1" t="inlineStr">
        <is>
          <t>Coming on bench in 4 week(s)</t>
        </is>
      </c>
      <c r="D55" s="1" t="n">
        <v>0.734583</v>
      </c>
      <c r="E55" s="1" t="n">
        <v>0.55093725</v>
      </c>
      <c r="F55" s="1" t="n">
        <v>0.734375</v>
      </c>
      <c r="G55" s="14" t="n">
        <v>0.734583</v>
      </c>
      <c r="H55" s="14" t="n">
        <v>0.734583</v>
      </c>
      <c r="I55" s="14" t="n">
        <v>0.734583</v>
      </c>
      <c r="J55" s="14" t="n">
        <v>0.734583</v>
      </c>
      <c r="K55" s="14" t="n">
        <v>0.734583</v>
      </c>
      <c r="L55" s="14" t="n">
        <v>0.734583</v>
      </c>
      <c r="M55" s="14" t="n">
        <v>0.734583</v>
      </c>
      <c r="N55" s="15" t="inlineStr">
        <is>
          <t>Mar - Aug 2026 - Client G
Internship until 7 Aug</t>
        </is>
      </c>
      <c r="O55" s="15" t="inlineStr">
        <is>
          <t xml:space="preserve">EP </t>
        </is>
      </c>
      <c r="P55" s="15" t="inlineStr">
        <is>
          <t>RFPs creation, Product Mgmt, Documentation</t>
        </is>
      </c>
      <c r="Q55" s="15" t="inlineStr">
        <is>
          <t>Python, C++, HTML, CSS, Javascript, NodeJS, ExpressJS</t>
        </is>
      </c>
      <c r="R55" s="15" t="inlineStr">
        <is>
          <t>Claude Code, codex, SQL, R</t>
        </is>
      </c>
      <c r="S55" s="15" t="inlineStr">
        <is>
          <t>Data Scientist / Business Analyst / Management consultant</t>
        </is>
      </c>
      <c r="T55" s="15" t="inlineStr">
        <is>
          <t>Client G S/4HANA Implementation - ENG-016</t>
        </is>
      </c>
      <c r="U55" t="inlineStr">
        <is>
          <t>Masked Person 37</t>
        </is>
      </c>
    </row>
    <row r="56" ht="29" customHeight="1" s="350">
      <c r="A56" t="inlineStr">
        <is>
          <t>Masked Person 67</t>
        </is>
      </c>
      <c r="B56" t="inlineStr">
        <is>
          <t>Intern (CS) 1</t>
        </is>
      </c>
      <c r="C56" s="1" t="inlineStr">
        <is>
          <t>Benching for 1 week(s)</t>
        </is>
      </c>
      <c r="D56" s="1" t="n">
        <v>0</v>
      </c>
      <c r="E56" s="1" t="n">
        <v>0</v>
      </c>
      <c r="F56" s="1" t="n">
        <v>0</v>
      </c>
      <c r="G56" s="14" t="n">
        <v>0</v>
      </c>
      <c r="H56" s="14" t="n">
        <v>0</v>
      </c>
      <c r="I56" s="14" t="n">
        <v>0</v>
      </c>
      <c r="J56" s="14" t="n">
        <v>0</v>
      </c>
      <c r="K56" s="14" t="n">
        <v>0</v>
      </c>
      <c r="L56" s="14" t="n">
        <v>0</v>
      </c>
      <c r="M56" s="14" t="n">
        <v>0</v>
      </c>
      <c r="N56" s="16" t="inlineStr">
        <is>
          <t>May 2026 - Apr 2027 - Client A 100%
Internship until April 2027</t>
        </is>
      </c>
      <c r="O56" s="15" t="n"/>
      <c r="P56" s="15" t="inlineStr">
        <is>
          <t>Data Engineer</t>
        </is>
      </c>
      <c r="Q56" s="15" t="inlineStr">
        <is>
          <t>Python, MySQL, Microsoft Azure</t>
        </is>
      </c>
      <c r="R56" s="15" t="inlineStr">
        <is>
          <t>Linux, AWS, Docker, ML (Scikit-learn, Pandas)</t>
        </is>
      </c>
      <c r="S56" s="15" t="inlineStr">
        <is>
          <t>Data Scientist/AI Engineer</t>
        </is>
      </c>
      <c r="T56" s="15" t="inlineStr">
        <is>
          <t>Client A - Platform A1 (GovCloud) - ENG-017</t>
        </is>
      </c>
      <c r="U56" s="15" t="inlineStr">
        <is>
          <t>Masked Person 1</t>
        </is>
      </c>
    </row>
    <row r="57">
      <c r="A57" t="inlineStr">
        <is>
          <t>Masked Person 68</t>
        </is>
      </c>
      <c r="B57" t="inlineStr">
        <is>
          <t>Manager 2</t>
        </is>
      </c>
      <c r="C57" s="1" t="inlineStr">
        <is>
          <t>Coming on bench in 4 week(s)</t>
        </is>
      </c>
      <c r="D57" s="1" t="n">
        <v>0.8</v>
      </c>
      <c r="E57" s="1" t="n">
        <v>0.8</v>
      </c>
      <c r="F57" s="1" t="n">
        <v>0.8</v>
      </c>
      <c r="G57" s="14" t="n">
        <v>0.8</v>
      </c>
      <c r="H57" s="14" t="n">
        <v>0.8</v>
      </c>
      <c r="I57" s="14" t="n">
        <v>0.8</v>
      </c>
      <c r="J57" s="14" t="n">
        <v>0.8</v>
      </c>
      <c r="K57" s="14" t="n">
        <v>0.8</v>
      </c>
      <c r="L57" s="14" t="n">
        <v>0.8</v>
      </c>
      <c r="M57" s="14" t="n">
        <v>0.8</v>
      </c>
      <c r="N57" s="15" t="inlineStr">
        <is>
          <t>100% allocated across Client C, Client B, Client AH, Client AI, Client AJ</t>
        </is>
      </c>
      <c r="O57" s="15" t="inlineStr">
        <is>
          <t>PR (Chinese)</t>
        </is>
      </c>
      <c r="P57" s="15" t="inlineStr">
        <is>
          <t>Senior AI Developer, Data Quality Manager</t>
        </is>
      </c>
      <c r="Q57" s="15" t="inlineStr">
        <is>
          <t>Python, C++, VS Code, VS, OPENAI LIB, AI Agent, PyTorch, Computer Vision</t>
        </is>
      </c>
      <c r="R57" s="15" t="inlineStr">
        <is>
          <t>Devops ( On premise)</t>
        </is>
      </c>
      <c r="S57" s="15" t="inlineStr">
        <is>
          <t>Cloud Platforms, MLOps</t>
        </is>
      </c>
      <c r="T57" s="15" t="inlineStr">
        <is>
          <t>Consulting - Authorised Project [Proposal/Admin] - ENG-001</t>
        </is>
      </c>
      <c r="U57" s="15" t="n"/>
    </row>
    <row r="58">
      <c r="A58" t="inlineStr">
        <is>
          <t>Masked Person 69</t>
        </is>
      </c>
      <c r="B58" t="inlineStr">
        <is>
          <t>Manager 3</t>
        </is>
      </c>
      <c r="C58" s="1" t="inlineStr">
        <is>
          <t>Coming on bench in 4 week(s)</t>
        </is>
      </c>
      <c r="D58" s="1" t="n">
        <v>0.5</v>
      </c>
      <c r="E58" s="1" t="n">
        <v>0.5</v>
      </c>
      <c r="F58" s="1" t="n">
        <v>0.5</v>
      </c>
      <c r="G58" s="14" t="n">
        <v>0.5</v>
      </c>
      <c r="H58" s="14" t="n">
        <v>0.5</v>
      </c>
      <c r="I58" s="14" t="n">
        <v>0.5</v>
      </c>
      <c r="J58" s="14" t="n">
        <v>0.5</v>
      </c>
      <c r="K58" s="14" t="n">
        <v>0.5</v>
      </c>
      <c r="L58" s="14" t="n">
        <v>0.5</v>
      </c>
      <c r="M58" s="14" t="n">
        <v>0.5</v>
      </c>
      <c r="N58" s="15" t="inlineStr">
        <is>
          <t>100% allocated across Client C, Client B, Client A</t>
        </is>
      </c>
      <c r="O58" s="15" t="inlineStr">
        <is>
          <t>EP</t>
        </is>
      </c>
      <c r="P58" s="15" t="inlineStr">
        <is>
          <t>Architect</t>
        </is>
      </c>
      <c r="Q58" s="15" t="inlineStr">
        <is>
          <t>Infra, Cloud Infra, GovCloud</t>
        </is>
      </c>
      <c r="R58" s="15" t="inlineStr">
        <is>
          <t>DBA</t>
        </is>
      </c>
      <c r="S58" s="15" t="inlineStr">
        <is>
          <t>Enterprise Architect</t>
        </is>
      </c>
      <c r="T58" s="15" t="inlineStr">
        <is>
          <t>Client C - Platform C1 - Implementation Release 2 and 3 - ENG-014
Client A - Platform A1 (GovCloud) - ENG-017
Client B - System B1 SAS Upgrade - 3.5 - ENG-010</t>
        </is>
      </c>
      <c r="U58" s="15" t="n"/>
    </row>
    <row r="59">
      <c r="A59" t="inlineStr">
        <is>
          <t>Masked Person 70</t>
        </is>
      </c>
      <c r="B59" t="inlineStr">
        <is>
          <t>Staff/Assistant 2</t>
        </is>
      </c>
      <c r="C59" s="1" t="inlineStr">
        <is>
          <t>Benching for 5 week(s)</t>
        </is>
      </c>
      <c r="D59" s="1" t="n">
        <v>0</v>
      </c>
      <c r="E59" s="1" t="n">
        <v>0</v>
      </c>
      <c r="F59" s="1" t="n">
        <v>0</v>
      </c>
      <c r="G59" s="14" t="n">
        <v>0</v>
      </c>
      <c r="H59" s="14" t="n">
        <v>0</v>
      </c>
      <c r="I59" s="14" t="n">
        <v>0</v>
      </c>
      <c r="J59" s="14" t="n">
        <v>0</v>
      </c>
      <c r="K59" s="14" t="n">
        <v>0</v>
      </c>
      <c r="L59" s="14" t="n">
        <v>0</v>
      </c>
      <c r="M59" s="14" t="n">
        <v>0</v>
      </c>
      <c r="P59" t="inlineStr">
        <is>
          <t>AI Engineer (Former employer 1)</t>
        </is>
      </c>
      <c r="Q59" t="inlineStr">
        <is>
          <t>Agentic AI, Multi‑Agent Orchestration, Autonomous Reasoning (ReAct, Planning, Reflection), LLMs, RAG, MCP, Python, LangChain</t>
        </is>
      </c>
      <c r="R59" t="inlineStr">
        <is>
          <t>LLMOps (Docker, GCP), LangGraph, LangSmith, CI/CD (GitHub Actions), FastAPI, Vector Databases (Pinecone, Chroma, Supabase)</t>
        </is>
      </c>
      <c r="S59" t="inlineStr">
        <is>
          <t>GenAI Engineer / AI Architect</t>
        </is>
      </c>
    </row>
    <row r="60">
      <c r="A60" t="inlineStr">
        <is>
          <t>Masked Person 71</t>
        </is>
      </c>
      <c r="B60" t="inlineStr">
        <is>
          <t>Intern (CS) 1</t>
        </is>
      </c>
      <c r="C60" s="1" t="inlineStr">
        <is>
          <t>Coming on bench in 1 week(s)</t>
        </is>
      </c>
      <c r="D60" s="1" t="n">
        <v>0.185138333333333</v>
      </c>
      <c r="E60" s="1" t="n">
        <v>0.09256916666666661</v>
      </c>
      <c r="F60" s="1" t="n">
        <v>1.11146</v>
      </c>
      <c r="G60" s="14" t="n">
        <v>1.11083</v>
      </c>
      <c r="H60" s="14" t="n">
        <v>0</v>
      </c>
      <c r="I60" s="14" t="n">
        <v>0</v>
      </c>
      <c r="J60" s="14" t="n">
        <v>0</v>
      </c>
      <c r="K60" s="14" t="n">
        <v>0</v>
      </c>
      <c r="L60" s="14" t="n">
        <v>0</v>
      </c>
      <c r="M60" s="14" t="n">
        <v>0</v>
      </c>
      <c r="N60" s="15" t="inlineStr">
        <is>
          <t>Jan - June 2026 - Client A
Internship until 12 June</t>
        </is>
      </c>
      <c r="O60" s="15" t="inlineStr">
        <is>
          <t>EP</t>
        </is>
      </c>
      <c r="P60" s="15" t="n"/>
      <c r="Q60" s="15" t="n"/>
      <c r="R60" s="15" t="n"/>
      <c r="S60" s="15" t="n"/>
      <c r="T60" s="15" t="inlineStr">
        <is>
          <t>Client A - Platform A1 (GovCloud) - ENG-017</t>
        </is>
      </c>
      <c r="U60" s="15" t="inlineStr">
        <is>
          <t>Masked Person 1</t>
        </is>
      </c>
    </row>
    <row r="61">
      <c r="A61" t="inlineStr">
        <is>
          <t>Masked Person 72</t>
        </is>
      </c>
      <c r="B61" t="inlineStr">
        <is>
          <t>Staff/Assistant 2</t>
        </is>
      </c>
      <c r="C61" s="1" t="inlineStr">
        <is>
          <t>Coming on bench in 4 week(s)</t>
        </is>
      </c>
      <c r="D61" s="1" t="n">
        <v>1</v>
      </c>
      <c r="E61" s="1" t="n">
        <v>1</v>
      </c>
      <c r="F61" s="1" t="n">
        <v>1.25</v>
      </c>
      <c r="G61" s="14" t="n">
        <v>1</v>
      </c>
      <c r="H61" s="14" t="n">
        <v>1</v>
      </c>
      <c r="I61" s="14" t="n">
        <v>1</v>
      </c>
      <c r="J61" s="14" t="n">
        <v>1</v>
      </c>
      <c r="K61" s="14" t="n">
        <v>1</v>
      </c>
      <c r="L61" s="14" t="n">
        <v>1</v>
      </c>
      <c r="M61" s="14" t="n">
        <v>1</v>
      </c>
      <c r="N61" s="15" t="inlineStr">
        <is>
          <t>Dec 2025 - end 2026 Client A100%</t>
        </is>
      </c>
      <c r="O61" s="15" t="inlineStr">
        <is>
          <t>EP</t>
        </is>
      </c>
      <c r="P61" s="15" t="inlineStr">
        <is>
          <t>Data Engineer</t>
        </is>
      </c>
      <c r="Q61" s="15" t="inlineStr">
        <is>
          <t>Azure, Anaplan, Python, Pyspark, SQL</t>
        </is>
      </c>
      <c r="R61" s="15" t="inlineStr">
        <is>
          <t>Databricks, Java, C++</t>
        </is>
      </c>
      <c r="S61" s="15" t="inlineStr">
        <is>
          <t>AI engineer</t>
        </is>
      </c>
      <c r="T61" s="15" t="inlineStr">
        <is>
          <t>Client A - Platform A1 (GovCloud) - ENG-017</t>
        </is>
      </c>
      <c r="U61" s="15" t="inlineStr">
        <is>
          <t>Masked Person 1</t>
        </is>
      </c>
    </row>
    <row r="62">
      <c r="A62" t="inlineStr">
        <is>
          <t>Masked Person 73</t>
        </is>
      </c>
      <c r="B62" t="inlineStr">
        <is>
          <t>Senior 1</t>
        </is>
      </c>
      <c r="C62" s="1" t="inlineStr">
        <is>
          <t>Coming on bench in 4 week(s)</t>
        </is>
      </c>
      <c r="D62" s="1" t="n">
        <v>1</v>
      </c>
      <c r="E62" s="1" t="n">
        <v>1</v>
      </c>
      <c r="F62" s="1" t="n">
        <v>1</v>
      </c>
      <c r="G62" s="14" t="n">
        <v>1</v>
      </c>
      <c r="H62" s="14" t="n">
        <v>1</v>
      </c>
      <c r="I62" s="14" t="n">
        <v>1</v>
      </c>
      <c r="J62" s="14" t="n">
        <v>1</v>
      </c>
      <c r="K62" s="14" t="n">
        <v>1</v>
      </c>
      <c r="L62" s="14" t="n">
        <v>1</v>
      </c>
      <c r="M62" s="14" t="n">
        <v>1</v>
      </c>
      <c r="N62" s="15" t="inlineStr">
        <is>
          <t>Jan - Dec 2026 - Client D 100%</t>
        </is>
      </c>
      <c r="O62" s="15" t="inlineStr">
        <is>
          <t>PR</t>
        </is>
      </c>
      <c r="P62" s="15" t="inlineStr">
        <is>
          <t>Infra engineer/Data engineer</t>
        </is>
      </c>
      <c r="Q62" s="15" t="inlineStr">
        <is>
          <t>AWS, Linux, SAS, SQL</t>
        </is>
      </c>
      <c r="R62" s="15" t="inlineStr">
        <is>
          <t>Git, Terraform, Jenkins, Ansible, Kubernetes, Databricks, Agentic AI</t>
        </is>
      </c>
      <c r="S62" s="15" t="inlineStr">
        <is>
          <t>DevOps Engineer</t>
        </is>
      </c>
      <c r="T62" s="15" t="inlineStr">
        <is>
          <t>Client D - Platform D1 GovCloud Migration - M&amp;S - ENG-008</t>
        </is>
      </c>
      <c r="U62" t="inlineStr">
        <is>
          <t>Masked Person 11</t>
        </is>
      </c>
    </row>
    <row r="63" ht="29" customHeight="1" s="350">
      <c r="A63" t="inlineStr">
        <is>
          <t>Masked Person 74</t>
        </is>
      </c>
      <c r="B63" t="inlineStr">
        <is>
          <t>Intern (CS) 1</t>
        </is>
      </c>
      <c r="C63" s="1" t="inlineStr">
        <is>
          <t>Benching for 11 week(s)</t>
        </is>
      </c>
      <c r="D63" s="1" t="n">
        <v>0</v>
      </c>
      <c r="E63" s="1" t="n">
        <v>0</v>
      </c>
      <c r="F63" s="1" t="n">
        <v>0</v>
      </c>
      <c r="G63" s="14" t="n">
        <v>0</v>
      </c>
      <c r="H63" s="14" t="n">
        <v>0</v>
      </c>
      <c r="I63" s="14" t="n">
        <v>0</v>
      </c>
      <c r="J63" s="14" t="n">
        <v>0</v>
      </c>
      <c r="K63" s="14" t="n">
        <v>0</v>
      </c>
      <c r="L63" s="14" t="n">
        <v>0</v>
      </c>
      <c r="M63" s="14" t="n">
        <v>0</v>
      </c>
      <c r="N63" s="16" t="inlineStr">
        <is>
          <t>Jan - June 2026 - Client C
Internship until 26 June</t>
        </is>
      </c>
      <c r="O63" s="15" t="inlineStr">
        <is>
          <t>Singaporean</t>
        </is>
      </c>
      <c r="P63" s="15" t="inlineStr">
        <is>
          <t>Platform C1 project</t>
        </is>
      </c>
      <c r="Q63" s="15" t="inlineStr">
        <is>
          <t xml:space="preserve">Python, SQL (MySQL, pgSQL), Azure </t>
        </is>
      </c>
      <c r="R63" s="15" t="inlineStr">
        <is>
          <t>AWS, React, Typescript, Javascript</t>
        </is>
      </c>
      <c r="S63" s="15" t="inlineStr">
        <is>
          <t>Data Analyst/Engineer</t>
        </is>
      </c>
      <c r="T63" s="15" t="inlineStr">
        <is>
          <t>Client C - Platform C1 - Implementation Release 2 and 3 - ENG-014</t>
        </is>
      </c>
      <c r="U63" t="inlineStr">
        <is>
          <t>Masked Person 61</t>
        </is>
      </c>
    </row>
    <row r="64">
      <c r="A64" t="inlineStr">
        <is>
          <t>Masked Person 75</t>
        </is>
      </c>
      <c r="B64" t="inlineStr">
        <is>
          <t>Intern (CS) 1</t>
        </is>
      </c>
      <c r="C64" s="1" t="inlineStr">
        <is>
          <t>Coming on bench in 2 week(s)</t>
        </is>
      </c>
      <c r="D64" s="1" t="n">
        <v>0.333333333333333</v>
      </c>
      <c r="E64" s="1" t="n">
        <v>0.166666666666667</v>
      </c>
      <c r="F64" s="1" t="n">
        <v>1</v>
      </c>
      <c r="G64" s="14" t="n">
        <v>1</v>
      </c>
      <c r="H64" s="14" t="n">
        <v>1</v>
      </c>
      <c r="I64" s="14" t="n">
        <v>0</v>
      </c>
      <c r="J64" s="14" t="n">
        <v>0</v>
      </c>
      <c r="K64" s="14" t="n">
        <v>0</v>
      </c>
      <c r="L64" s="14" t="n">
        <v>0</v>
      </c>
      <c r="M64" s="14" t="n">
        <v>0</v>
      </c>
      <c r="N64" s="15" t="inlineStr">
        <is>
          <t>Jan - June 2026 - Client C 100%
Internship until 19 June</t>
        </is>
      </c>
      <c r="O64" s="15" t="inlineStr">
        <is>
          <t>EP</t>
        </is>
      </c>
      <c r="P64" s="15" t="inlineStr">
        <is>
          <t>Data/Business analyst</t>
        </is>
      </c>
      <c r="Q64" s="15" t="inlineStr">
        <is>
          <t>python, sql, excel, power bi</t>
        </is>
      </c>
      <c r="R64" s="15" t="inlineStr">
        <is>
          <t>java, javascript</t>
        </is>
      </c>
      <c r="S64" s="15" t="inlineStr">
        <is>
          <t>Data Analyst / Data Engineer</t>
        </is>
      </c>
      <c r="T64" s="15" t="inlineStr">
        <is>
          <t>Client C - Platform C1 Project C3 - ENG-011
Client O-Data Discovery for Waste Management - ENG-018</t>
        </is>
      </c>
      <c r="U64" s="15" t="n"/>
    </row>
    <row r="65">
      <c r="A65" t="inlineStr">
        <is>
          <t>Masked Person 76</t>
        </is>
      </c>
      <c r="B65" t="inlineStr">
        <is>
          <t>Staff/Assistant 1</t>
        </is>
      </c>
      <c r="C65" s="1" t="inlineStr">
        <is>
          <t>Coming on bench in 3 week(s)</t>
        </is>
      </c>
      <c r="D65" s="1" t="n">
        <v>0.528125</v>
      </c>
      <c r="E65" s="1" t="n">
        <v>0.2640625</v>
      </c>
      <c r="F65" s="1" t="n">
        <v>1.05625</v>
      </c>
      <c r="G65" s="14" t="n">
        <v>1.05625</v>
      </c>
      <c r="H65" s="14" t="n">
        <v>1.05625</v>
      </c>
      <c r="I65" s="14" t="n">
        <v>1.05625</v>
      </c>
      <c r="J65" s="14" t="n">
        <v>0</v>
      </c>
      <c r="K65" s="14" t="n">
        <v>0</v>
      </c>
      <c r="L65" s="14" t="n">
        <v>0</v>
      </c>
      <c r="M65" s="14" t="n">
        <v>0</v>
      </c>
      <c r="N65" s="15" t="inlineStr">
        <is>
          <t>Jan 2026 - Jul 2026 Client A 100%</t>
        </is>
      </c>
      <c r="O65" s="15" t="inlineStr">
        <is>
          <t>Singaporean</t>
        </is>
      </c>
      <c r="P65" s="15" t="inlineStr">
        <is>
          <t>data engineer in GovCloud Platform A1 project</t>
        </is>
      </c>
      <c r="Q65" s="15" t="inlineStr">
        <is>
          <t xml:space="preserve">Microsoft Azure, Python / Spark/ SQL </t>
        </is>
      </c>
      <c r="R65" s="15" t="inlineStr">
        <is>
          <t xml:space="preserve">R, Power Bi, Tableau
</t>
        </is>
      </c>
      <c r="S65" s="15" t="n"/>
      <c r="T65" s="15" t="inlineStr">
        <is>
          <t>Client A - Platform A1 in GovCloud - ENG-004</t>
        </is>
      </c>
      <c r="U65" s="15" t="n"/>
    </row>
    <row r="66">
      <c r="A66" t="inlineStr">
        <is>
          <t>Masked Person 77</t>
        </is>
      </c>
      <c r="B66" t="inlineStr">
        <is>
          <t>Senior 1</t>
        </is>
      </c>
      <c r="C66" s="1" t="inlineStr">
        <is>
          <t>Coming on bench in 4 week(s)</t>
        </is>
      </c>
      <c r="D66" s="1" t="n">
        <v>1</v>
      </c>
      <c r="E66" s="1" t="n">
        <v>1</v>
      </c>
      <c r="F66" s="1" t="n">
        <v>1</v>
      </c>
      <c r="G66" s="14" t="n">
        <v>1</v>
      </c>
      <c r="H66" s="14" t="n">
        <v>1</v>
      </c>
      <c r="I66" s="14" t="n">
        <v>1</v>
      </c>
      <c r="J66" s="14" t="n">
        <v>1</v>
      </c>
      <c r="K66" s="14" t="n">
        <v>1</v>
      </c>
      <c r="L66" s="14" t="n">
        <v>1</v>
      </c>
      <c r="M66" s="14" t="n">
        <v>1</v>
      </c>
      <c r="N66" s="15" t="inlineStr">
        <is>
          <t>Jan - Dec 2026 - Client B 100%</t>
        </is>
      </c>
      <c r="O66" s="15" t="inlineStr">
        <is>
          <t>Singaporean</t>
        </is>
      </c>
      <c r="P66" s="15" t="n"/>
      <c r="Q66" s="15" t="inlineStr">
        <is>
          <t>Maintenance and support. Data analysis</t>
        </is>
      </c>
      <c r="R66" s="15" t="inlineStr">
        <is>
          <t>Data Governance and Data Engineering</t>
        </is>
      </c>
      <c r="S66" s="15" t="inlineStr">
        <is>
          <t>Data Engineer</t>
        </is>
      </c>
      <c r="T66" s="15" t="inlineStr">
        <is>
          <t>Client B - System B1 SAS Upgrade - 3.5 - ENG-010</t>
        </is>
      </c>
      <c r="U66" t="inlineStr">
        <is>
          <t>Masked Person 11</t>
        </is>
      </c>
    </row>
    <row r="67">
      <c r="A67" t="inlineStr">
        <is>
          <t>Masked Person 78</t>
        </is>
      </c>
      <c r="B67" t="inlineStr">
        <is>
          <t>Staff/Assistant 1</t>
        </is>
      </c>
      <c r="C67" s="1" t="inlineStr">
        <is>
          <t>Coming on bench in 4 week(s)</t>
        </is>
      </c>
      <c r="D67" s="1" t="n">
        <v>1</v>
      </c>
      <c r="E67" s="1" t="n">
        <v>0.854166666666666</v>
      </c>
      <c r="F67" s="1" t="n">
        <v>1.25</v>
      </c>
      <c r="G67" s="14" t="n">
        <v>1</v>
      </c>
      <c r="H67" s="14" t="n">
        <v>1</v>
      </c>
      <c r="I67" s="14" t="n">
        <v>1</v>
      </c>
      <c r="J67" s="14" t="n">
        <v>1</v>
      </c>
      <c r="K67" s="14" t="n">
        <v>1</v>
      </c>
      <c r="L67" s="14" t="n">
        <v>1</v>
      </c>
      <c r="M67" s="14" t="n">
        <v>1</v>
      </c>
      <c r="N67" s="12" t="inlineStr">
        <is>
          <t>Jan 2026 - June 2027 Client A 100%</t>
        </is>
      </c>
      <c r="O67" s="12" t="inlineStr">
        <is>
          <t>Singaporean</t>
        </is>
      </c>
      <c r="P67" s="15" t="inlineStr">
        <is>
          <t>Data Engineer</t>
        </is>
      </c>
      <c r="Q67" s="15" t="inlineStr">
        <is>
          <t>Azure, Python, SQL, MySQL, Terraform</t>
        </is>
      </c>
      <c r="R67" s="15" t="inlineStr">
        <is>
          <t>Q, Power BI, React, DAX, Snowflake</t>
        </is>
      </c>
      <c r="S67" s="15" t="inlineStr">
        <is>
          <t>Data Scientist / AI - ML Engineer</t>
        </is>
      </c>
      <c r="T67" s="15" t="inlineStr">
        <is>
          <t>Client A - Platform A1 in GovCloud - ENG-004</t>
        </is>
      </c>
      <c r="U67" s="15" t="n"/>
    </row>
    <row r="68">
      <c r="A68" t="inlineStr">
        <is>
          <t>Masked Person 79</t>
        </is>
      </c>
      <c r="B68" t="inlineStr">
        <is>
          <t>Senior 3</t>
        </is>
      </c>
      <c r="C68" s="1" t="inlineStr">
        <is>
          <t>Coming on bench in 4 week(s)</t>
        </is>
      </c>
      <c r="D68" s="1" t="n">
        <v>1</v>
      </c>
      <c r="E68" s="1" t="n">
        <v>1</v>
      </c>
      <c r="F68" s="1" t="n">
        <v>1</v>
      </c>
      <c r="G68" s="14" t="n">
        <v>1</v>
      </c>
      <c r="H68" s="14" t="n">
        <v>1</v>
      </c>
      <c r="I68" s="14" t="n">
        <v>1</v>
      </c>
      <c r="J68" s="14" t="n">
        <v>1</v>
      </c>
      <c r="K68" s="14" t="n">
        <v>1</v>
      </c>
      <c r="L68" s="14" t="n">
        <v>1</v>
      </c>
      <c r="M68" s="14" t="n">
        <v>1</v>
      </c>
      <c r="N68" s="15" t="inlineStr">
        <is>
          <t>Jan 2026 - Dec Client A 100%</t>
        </is>
      </c>
      <c r="O68" s="15" t="inlineStr">
        <is>
          <t>Singaporean</t>
        </is>
      </c>
      <c r="P68" s="15" t="inlineStr">
        <is>
          <t>ETL Lead, Assistant App Lead</t>
        </is>
      </c>
      <c r="Q68" s="15" t="inlineStr">
        <is>
          <t>PySpark, Python, Azure Data Factory, Synapse, Azure DevOps, SQL</t>
        </is>
      </c>
      <c r="R68" s="15" t="inlineStr">
        <is>
          <t>Power BI, Neo4j, SAS EG</t>
        </is>
      </c>
      <c r="S68" s="15" t="inlineStr">
        <is>
          <t>Data Engineer Lead, Would also like to learn some AI Skills</t>
        </is>
      </c>
      <c r="T68" s="15" t="inlineStr">
        <is>
          <t>Client A - Platform A1 (GovCloud) - ENG-017</t>
        </is>
      </c>
      <c r="U68" s="15" t="inlineStr">
        <is>
          <t>Masked Person 1</t>
        </is>
      </c>
    </row>
    <row r="69">
      <c r="A69" t="inlineStr">
        <is>
          <t>Masked Person 80</t>
        </is>
      </c>
      <c r="B69" t="inlineStr">
        <is>
          <t>Staff/Assistant 1</t>
        </is>
      </c>
      <c r="C69" s="1" t="inlineStr">
        <is>
          <t>Coming on bench in 4 week(s)</t>
        </is>
      </c>
      <c r="D69" s="1" t="n">
        <v>0.866666666666667</v>
      </c>
      <c r="E69" s="1" t="n">
        <v>0.933333333333333</v>
      </c>
      <c r="F69" s="1" t="n">
        <v>1.25</v>
      </c>
      <c r="G69" s="14" t="n">
        <v>0.2</v>
      </c>
      <c r="H69" s="14" t="n">
        <v>1</v>
      </c>
      <c r="I69" s="14" t="n">
        <v>1</v>
      </c>
      <c r="J69" s="14" t="n">
        <v>1</v>
      </c>
      <c r="K69" s="14" t="n">
        <v>1</v>
      </c>
      <c r="L69" s="14" t="n">
        <v>1</v>
      </c>
      <c r="M69" s="14" t="n">
        <v>1</v>
      </c>
      <c r="N69" s="15" t="inlineStr">
        <is>
          <t>Jan - April 2027 - Client A 100%</t>
        </is>
      </c>
      <c r="O69" s="15" t="inlineStr">
        <is>
          <t>Singaporean</t>
        </is>
      </c>
      <c r="P69" s="15" t="inlineStr">
        <is>
          <t>Data Engineer</t>
        </is>
      </c>
      <c r="Q69" s="15" t="inlineStr">
        <is>
          <t>Python, Java, SQL, HTML, C++, Pytorch, Scikit-Learn</t>
        </is>
      </c>
      <c r="R69" s="15" t="inlineStr">
        <is>
          <t>Microsoft Purview, Microsoft Azure, Microsoft Fabric</t>
        </is>
      </c>
      <c r="S69" s="15" t="inlineStr">
        <is>
          <t>Data Scientist</t>
        </is>
      </c>
      <c r="T69" s="15" t="inlineStr">
        <is>
          <t>Client A - Platform A1 Maintenance Phase 1 &amp;2 - ENG-003
Client A - Platform A1 in GovCloud - ENG-004</t>
        </is>
      </c>
      <c r="U69" s="15" t="inlineStr">
        <is>
          <t>Masked Person 1</t>
        </is>
      </c>
    </row>
    <row r="70">
      <c r="A70" t="inlineStr">
        <is>
          <t>Masked Person 81</t>
        </is>
      </c>
      <c r="B70" t="inlineStr">
        <is>
          <t>Staff/Assistant 1</t>
        </is>
      </c>
      <c r="C70" s="1" t="inlineStr">
        <is>
          <t>Coming on bench in 4 week(s)</t>
        </is>
      </c>
      <c r="D70" s="1" t="n">
        <v>1</v>
      </c>
      <c r="E70" s="1" t="n">
        <v>1</v>
      </c>
      <c r="F70" s="1" t="n">
        <v>1</v>
      </c>
      <c r="G70" s="14" t="n">
        <v>1</v>
      </c>
      <c r="H70" s="14" t="n">
        <v>1</v>
      </c>
      <c r="I70" s="14" t="n">
        <v>1</v>
      </c>
      <c r="J70" s="14" t="n">
        <v>1</v>
      </c>
      <c r="K70" s="14" t="n">
        <v>1</v>
      </c>
      <c r="L70" s="14" t="n">
        <v>1</v>
      </c>
      <c r="M70" s="14" t="n">
        <v>1</v>
      </c>
      <c r="N70" s="15" t="inlineStr">
        <is>
          <t>Jan 2026 - Dec 2026 Client B 100%</t>
        </is>
      </c>
      <c r="O70" s="15" t="inlineStr">
        <is>
          <t>Singaporean</t>
        </is>
      </c>
      <c r="P70" s="15" t="n"/>
      <c r="Q70" s="15" t="inlineStr">
        <is>
          <t>Data Engineer / Analyst</t>
        </is>
      </c>
      <c r="R70" s="15" t="inlineStr">
        <is>
          <t>Data Governance</t>
        </is>
      </c>
      <c r="S70" s="15" t="inlineStr">
        <is>
          <t>Data Scientist / Analyst</t>
        </is>
      </c>
      <c r="T70" s="15" t="inlineStr">
        <is>
          <t>Client B - System B1 - Maintenance and Support - ENG-002</t>
        </is>
      </c>
      <c r="U70" s="15" t="n"/>
    </row>
    <row r="71">
      <c r="A71" t="inlineStr">
        <is>
          <t>Masked Person 82</t>
        </is>
      </c>
      <c r="B71" t="inlineStr">
        <is>
          <t>Manager 2</t>
        </is>
      </c>
      <c r="C71" s="1" t="inlineStr">
        <is>
          <t>Benching for 5 week(s)</t>
        </is>
      </c>
      <c r="D71" s="1" t="n">
        <v>0</v>
      </c>
      <c r="E71" s="1" t="n">
        <v>0</v>
      </c>
      <c r="F71" s="1" t="n">
        <v>0</v>
      </c>
      <c r="G71" s="14" t="n">
        <v>0</v>
      </c>
      <c r="H71" s="14" t="n">
        <v>0</v>
      </c>
      <c r="I71" s="14" t="n">
        <v>0</v>
      </c>
      <c r="J71" s="14" t="n">
        <v>0</v>
      </c>
      <c r="K71" s="14" t="n">
        <v>0</v>
      </c>
      <c r="L71" s="14" t="n">
        <v>0</v>
      </c>
      <c r="M71" s="14" t="n">
        <v>0</v>
      </c>
      <c r="N71" s="15" t="inlineStr">
        <is>
          <t>May 2026 - Client J 40%</t>
        </is>
      </c>
      <c r="O71" s="15" t="inlineStr">
        <is>
          <t xml:space="preserve">EP </t>
        </is>
      </c>
      <c r="P71" s="15" t="inlineStr">
        <is>
          <t>Data Analyst, BI Developer</t>
        </is>
      </c>
      <c r="Q71" s="15" t="inlineStr">
        <is>
          <t>Python, Power BI, Copilot Studio, R, SQL</t>
        </is>
      </c>
      <c r="R71" s="17" t="inlineStr">
        <is>
          <t>Azure Foundry</t>
        </is>
      </c>
      <c r="S71" s="17" t="inlineStr">
        <is>
          <t>Data Scientist/AI Engineer</t>
        </is>
      </c>
      <c r="T71" s="17" t="inlineStr">
        <is>
          <t>Client J Construction Analytics &amp; AI MVP</t>
        </is>
      </c>
      <c r="U71" s="17" t="inlineStr">
        <is>
          <t>Masked Person 29</t>
        </is>
      </c>
    </row>
    <row r="72">
      <c r="A72" t="inlineStr">
        <is>
          <t>Masked Person 83</t>
        </is>
      </c>
      <c r="B72" t="inlineStr">
        <is>
          <t>Manager 2</t>
        </is>
      </c>
      <c r="C72" s="1" t="inlineStr">
        <is>
          <t>Coming on bench in 4 week(s)</t>
        </is>
      </c>
      <c r="D72" s="1" t="n">
        <v>0.566666666666667</v>
      </c>
      <c r="E72" s="1" t="n">
        <v>0.283333333333333</v>
      </c>
      <c r="F72" s="1" t="n">
        <v>1.4375</v>
      </c>
      <c r="G72" s="14" t="n">
        <v>1</v>
      </c>
      <c r="H72" s="14" t="n">
        <v>1</v>
      </c>
      <c r="I72" s="14" t="n">
        <v>1</v>
      </c>
      <c r="J72" s="14" t="n">
        <v>0.4</v>
      </c>
      <c r="K72" s="14" t="n">
        <v>0</v>
      </c>
      <c r="L72" s="14" t="n">
        <v>0</v>
      </c>
      <c r="M72" s="14" t="n">
        <v>0</v>
      </c>
      <c r="N72" s="15" t="inlineStr">
        <is>
          <t>Jan - June 2026 Client F 100%</t>
        </is>
      </c>
      <c r="O72" s="15" t="inlineStr">
        <is>
          <t xml:space="preserve">EP </t>
        </is>
      </c>
      <c r="P72" s="15" t="n"/>
      <c r="Q72" s="15" t="inlineStr">
        <is>
          <t>AI &amp; Data Platform Engineering (Hybrid Cloud, Data Integration, GenAI Enablement)</t>
        </is>
      </c>
      <c r="R72" s="15" t="inlineStr">
        <is>
          <t>Solution Design &amp; Cloud Engineering</t>
        </is>
      </c>
      <c r="S72" s="15" t="inlineStr">
        <is>
          <t>AI/Data/Cloud Platform Architect</t>
        </is>
      </c>
      <c r="T72" s="15" t="inlineStr">
        <is>
          <t>Client F - Project F1 - ENG-021</t>
        </is>
      </c>
      <c r="U72" s="15" t="inlineStr">
        <is>
          <t>Masked Person 29</t>
        </is>
      </c>
    </row>
    <row r="73">
      <c r="A73" t="inlineStr">
        <is>
          <t>Masked Person 84</t>
        </is>
      </c>
      <c r="B73" t="inlineStr">
        <is>
          <t>Intern (CS) 1</t>
        </is>
      </c>
      <c r="C73" s="1" t="inlineStr">
        <is>
          <t>Coming on bench in 4 week(s)</t>
        </is>
      </c>
      <c r="D73" s="1" t="n">
        <v>0.566666666666667</v>
      </c>
      <c r="E73" s="1" t="n">
        <v>0.283333333333333</v>
      </c>
      <c r="F73" s="1" t="n">
        <v>1</v>
      </c>
      <c r="G73" s="14" t="n">
        <v>1</v>
      </c>
      <c r="H73" s="14" t="n">
        <v>1</v>
      </c>
      <c r="I73" s="14" t="n">
        <v>1</v>
      </c>
      <c r="J73" s="14" t="n">
        <v>0.4</v>
      </c>
      <c r="K73" s="14" t="n">
        <v>0</v>
      </c>
      <c r="L73" s="14" t="n">
        <v>0</v>
      </c>
      <c r="M73" s="14" t="n">
        <v>0</v>
      </c>
      <c r="N73" s="15" t="inlineStr">
        <is>
          <t>Jan - June 2026 - Client C
Internship until 30 June</t>
        </is>
      </c>
      <c r="O73" s="15" t="inlineStr">
        <is>
          <t xml:space="preserve">EP </t>
        </is>
      </c>
      <c r="P73" s="15" t="inlineStr">
        <is>
          <t>Project support</t>
        </is>
      </c>
      <c r="Q73" s="15" t="inlineStr">
        <is>
          <t>Python</t>
        </is>
      </c>
      <c r="R73" s="15" t="inlineStr">
        <is>
          <t>Azure Machine Learning</t>
        </is>
      </c>
      <c r="S73" s="15" t="inlineStr">
        <is>
          <t>Data Analyst</t>
        </is>
      </c>
      <c r="T73" s="15" t="inlineStr">
        <is>
          <t>Client C - Platform C1 - Implementation Release 2 and 3 - ENG-014
HOUSING &amp; DEVELOPMENT BOARD - Client E System E1 Support - ENG-005</t>
        </is>
      </c>
      <c r="U73" t="inlineStr">
        <is>
          <t>Masked Person 61</t>
        </is>
      </c>
    </row>
    <row r="74">
      <c r="A74" t="inlineStr">
        <is>
          <t>Masked Person 85</t>
        </is>
      </c>
      <c r="B74" t="inlineStr">
        <is>
          <t>Intern (CS) 1</t>
        </is>
      </c>
      <c r="C74" s="1" t="inlineStr">
        <is>
          <t>Coming on bench in 4 week(s)</t>
        </is>
      </c>
      <c r="D74" s="1" t="n">
        <v>1</v>
      </c>
      <c r="E74" s="1" t="n">
        <v>0.666666666666667</v>
      </c>
      <c r="F74" s="1" t="n">
        <v>1</v>
      </c>
      <c r="G74" s="14" t="n">
        <v>1</v>
      </c>
      <c r="H74" s="14" t="n">
        <v>1</v>
      </c>
      <c r="I74" s="14" t="n">
        <v>1</v>
      </c>
      <c r="J74" s="14" t="n">
        <v>1</v>
      </c>
      <c r="K74" s="14" t="n">
        <v>1</v>
      </c>
      <c r="L74" s="14" t="n">
        <v>1</v>
      </c>
      <c r="M74" s="14" t="n">
        <v>1</v>
      </c>
      <c r="N74" s="15" t="inlineStr">
        <is>
          <t>Tentative Client A</t>
        </is>
      </c>
      <c r="O74" s="15" t="inlineStr">
        <is>
          <t xml:space="preserve">EP </t>
        </is>
      </c>
      <c r="P74" s="15" t="inlineStr">
        <is>
          <t>Data Engineer (Client A Phase 3)</t>
        </is>
      </c>
      <c r="Q74" s="15" t="inlineStr">
        <is>
          <t xml:space="preserve">Azure Synapse Workspace, Python, SQL </t>
        </is>
      </c>
      <c r="R74" s="15" t="inlineStr">
        <is>
          <t>Azure Devops</t>
        </is>
      </c>
      <c r="S74" s="15" t="inlineStr">
        <is>
          <t>Data Scientist</t>
        </is>
      </c>
      <c r="T74" s="15" t="inlineStr">
        <is>
          <t>Client A - Platform A1 in GovCloud - ENG-004</t>
        </is>
      </c>
      <c r="U74" s="15" t="n"/>
    </row>
    <row r="75">
      <c r="A75" t="inlineStr">
        <is>
          <t>Masked Person 86</t>
        </is>
      </c>
      <c r="B75" t="inlineStr">
        <is>
          <t>Intern (CS) 1</t>
        </is>
      </c>
      <c r="C75" s="1" t="inlineStr">
        <is>
          <t>Coming on bench in 3 week(s)</t>
        </is>
      </c>
      <c r="D75" s="1" t="n">
        <v>0.5</v>
      </c>
      <c r="E75" s="1" t="n">
        <v>0.25</v>
      </c>
      <c r="F75" s="1" t="n">
        <v>1</v>
      </c>
      <c r="G75" s="14" t="n">
        <v>1</v>
      </c>
      <c r="H75" s="14" t="n">
        <v>1</v>
      </c>
      <c r="I75" s="14" t="n">
        <v>1</v>
      </c>
      <c r="J75" s="14" t="n">
        <v>0</v>
      </c>
      <c r="K75" s="14" t="n">
        <v>0</v>
      </c>
      <c r="L75" s="14" t="n">
        <v>0</v>
      </c>
      <c r="M75" s="14" t="n">
        <v>0</v>
      </c>
      <c r="N75" s="15" t="inlineStr">
        <is>
          <t>Client B - 100%
Internship until 26 June</t>
        </is>
      </c>
      <c r="O75" s="15" t="inlineStr">
        <is>
          <t>Singaporean</t>
        </is>
      </c>
      <c r="P75" s="15" t="n"/>
      <c r="Q75" s="15" t="inlineStr">
        <is>
          <t>Machine Learning, Data Analytics</t>
        </is>
      </c>
      <c r="R75" s="15" t="inlineStr">
        <is>
          <t>Data Visualisation</t>
        </is>
      </c>
      <c r="S75" s="15" t="inlineStr">
        <is>
          <t>Data Scientist / Analyst</t>
        </is>
      </c>
      <c r="T75" s="15" t="inlineStr">
        <is>
          <t>Client B - System B1 - Maintenance and Support - ENG-002</t>
        </is>
      </c>
      <c r="U75" t="inlineStr">
        <is>
          <t>Masked Person 11</t>
        </is>
      </c>
    </row>
    <row r="76">
      <c r="A76" t="inlineStr">
        <is>
          <t>Masked Person 87</t>
        </is>
      </c>
      <c r="B76" t="inlineStr">
        <is>
          <t>Staff/Assistant 1</t>
        </is>
      </c>
      <c r="C76" s="1" t="inlineStr">
        <is>
          <t>Coming on bench in 4 week(s)</t>
        </is>
      </c>
      <c r="D76" s="1" t="n">
        <v>1</v>
      </c>
      <c r="E76" s="1" t="n">
        <v>1</v>
      </c>
      <c r="F76" s="1" t="n">
        <v>1</v>
      </c>
      <c r="G76" s="14" t="n">
        <v>1</v>
      </c>
      <c r="H76" s="14" t="n">
        <v>1</v>
      </c>
      <c r="I76" s="14" t="n">
        <v>1</v>
      </c>
      <c r="J76" s="14" t="n">
        <v>1</v>
      </c>
      <c r="K76" s="14" t="n">
        <v>1</v>
      </c>
      <c r="L76" s="14" t="n">
        <v>1</v>
      </c>
      <c r="M76" s="14" t="n">
        <v>1</v>
      </c>
      <c r="N76" s="15" t="inlineStr">
        <is>
          <t>Jan - Dec 2026 Client A 100%</t>
        </is>
      </c>
      <c r="O76" s="15" t="inlineStr">
        <is>
          <t xml:space="preserve">EP </t>
        </is>
      </c>
      <c r="P76" s="15" t="inlineStr">
        <is>
          <t>Data Engineer</t>
        </is>
      </c>
      <c r="Q76" s="15" t="inlineStr">
        <is>
          <t>Python</t>
        </is>
      </c>
      <c r="R76" s="15" t="inlineStr">
        <is>
          <t>C++</t>
        </is>
      </c>
      <c r="S76" s="15" t="inlineStr">
        <is>
          <t xml:space="preserve">- </t>
        </is>
      </c>
      <c r="T76" s="15" t="inlineStr">
        <is>
          <t>Client A - Platform A1 (GovCloud) - ENG-017</t>
        </is>
      </c>
      <c r="U76" s="15" t="inlineStr">
        <is>
          <t>Masked Person 1</t>
        </is>
      </c>
    </row>
    <row r="77">
      <c r="A77" t="inlineStr">
        <is>
          <t>Masked Person 88</t>
        </is>
      </c>
      <c r="B77" t="inlineStr">
        <is>
          <t>Senior 1</t>
        </is>
      </c>
      <c r="C77" s="1" t="inlineStr">
        <is>
          <t>Coming on bench in 1 week(s)</t>
        </is>
      </c>
      <c r="D77" s="1" t="n">
        <v>0.166666666666667</v>
      </c>
      <c r="E77" s="1" t="n">
        <v>0.0833333333333334</v>
      </c>
      <c r="F77" s="1" t="n">
        <v>1.25</v>
      </c>
      <c r="G77" s="14" t="n">
        <v>1</v>
      </c>
      <c r="H77" s="14" t="n">
        <v>0</v>
      </c>
      <c r="I77" s="14" t="n">
        <v>0</v>
      </c>
      <c r="J77" s="14" t="n">
        <v>0</v>
      </c>
      <c r="K77" s="14" t="n">
        <v>0</v>
      </c>
      <c r="L77" s="14" t="n">
        <v>0</v>
      </c>
      <c r="M77" s="14" t="n">
        <v>0</v>
      </c>
      <c r="N77" s="12" t="inlineStr">
        <is>
          <t>Jan 2026 - June 2027 Client A 100%</t>
        </is>
      </c>
      <c r="O77" s="12" t="inlineStr">
        <is>
          <t>Singaporean</t>
        </is>
      </c>
      <c r="P77" s="15" t="inlineStr">
        <is>
          <t>Data Platform Engineer, MLOps Engineer</t>
        </is>
      </c>
      <c r="Q77" s="13" t="inlineStr">
        <is>
          <t>Azure, Cloudera, Python, SQL, Shell, PySpark, Hive, HDFS, Kedro, MLflow, FastAPI</t>
        </is>
      </c>
      <c r="R77" s="15" t="inlineStr">
        <is>
          <t>SAS, R, Java, Git, Docker, Kubernetes, SonarQube, Fortify, Mend,  Power BI, Streamlit, Splunk, Jira</t>
        </is>
      </c>
      <c r="S77" s="15" t="inlineStr">
        <is>
          <t>AI/ML Engineer</t>
        </is>
      </c>
      <c r="T77" s="15" t="inlineStr">
        <is>
          <t>Client A - Platform A1 Maintenance Phase 1 &amp;2 - ENG-003</t>
        </is>
      </c>
      <c r="U77" t="inlineStr">
        <is>
          <t>Masked Person 13</t>
        </is>
      </c>
    </row>
    <row r="78">
      <c r="A78" t="inlineStr">
        <is>
          <t>Masked Person 89</t>
        </is>
      </c>
      <c r="B78" t="inlineStr">
        <is>
          <t>Intern (CS) 1</t>
        </is>
      </c>
      <c r="C78" s="1" t="inlineStr">
        <is>
          <t>Coming on bench in 3 week(s)</t>
        </is>
      </c>
      <c r="D78" s="1" t="n">
        <v>0.4808335</v>
      </c>
      <c r="E78" s="1" t="n">
        <v>0.24041675</v>
      </c>
      <c r="F78" s="1" t="n">
        <v>0.961458</v>
      </c>
      <c r="G78" s="14" t="n">
        <v>0.961667</v>
      </c>
      <c r="H78" s="14" t="n">
        <v>0.961667</v>
      </c>
      <c r="I78" s="14" t="n">
        <v>0.961667</v>
      </c>
      <c r="J78" s="14" t="n">
        <v>0</v>
      </c>
      <c r="K78" s="14" t="n">
        <v>0</v>
      </c>
      <c r="L78" s="14" t="n">
        <v>0</v>
      </c>
      <c r="M78" s="14" t="n">
        <v>0</v>
      </c>
      <c r="N78" s="15" t="inlineStr">
        <is>
          <t>Jan - June 2026 - Client A
Internship until 26 June</t>
        </is>
      </c>
      <c r="O78" s="15" t="inlineStr">
        <is>
          <t>Singaporean</t>
        </is>
      </c>
      <c r="P78" s="15" t="inlineStr">
        <is>
          <t>Client A Platform A1</t>
        </is>
      </c>
      <c r="Q78" s="15" t="inlineStr">
        <is>
          <t>Python, SQL, R, Java, Spark, Git, PowerBI</t>
        </is>
      </c>
      <c r="R78" s="15" t="inlineStr">
        <is>
          <t>Azure, Hadoop, Docker</t>
        </is>
      </c>
      <c r="S78" s="15" t="inlineStr">
        <is>
          <t>Data Scientist</t>
        </is>
      </c>
      <c r="T78" s="15" t="inlineStr">
        <is>
          <t>Client A - Platform A1 (GovCloud) - ENG-017</t>
        </is>
      </c>
      <c r="U78" s="15" t="inlineStr">
        <is>
          <t>Masked Person 1</t>
        </is>
      </c>
    </row>
    <row r="79" ht="29" customHeight="1" s="350">
      <c r="A79" t="inlineStr">
        <is>
          <t>Masked Person 90</t>
        </is>
      </c>
      <c r="B79" t="inlineStr">
        <is>
          <t>Intern (CS) 1</t>
        </is>
      </c>
      <c r="C79" s="1" t="inlineStr">
        <is>
          <t>Benching for 2 week(s)</t>
        </is>
      </c>
      <c r="D79" s="1" t="n">
        <v>0</v>
      </c>
      <c r="E79" s="1" t="n">
        <v>0</v>
      </c>
      <c r="F79" s="1" t="n">
        <v>0</v>
      </c>
      <c r="G79" s="14" t="n">
        <v>0</v>
      </c>
      <c r="H79" s="14" t="n">
        <v>0</v>
      </c>
      <c r="I79" s="14" t="n">
        <v>0</v>
      </c>
      <c r="J79" s="14" t="n">
        <v>0</v>
      </c>
      <c r="K79" s="14" t="n">
        <v>0</v>
      </c>
      <c r="L79" s="14" t="n">
        <v>0</v>
      </c>
      <c r="M79" s="14" t="n">
        <v>0</v>
      </c>
      <c r="N79" s="20" t="inlineStr">
        <is>
          <t>Client L
Internship until Dec 2026</t>
        </is>
      </c>
      <c r="O79" s="15" t="n"/>
      <c r="P79" s="15" t="n"/>
      <c r="Q79" s="15" t="n"/>
      <c r="R79" s="15" t="n"/>
      <c r="S79" s="15" t="n"/>
      <c r="T79" s="15" t="n"/>
      <c r="U79" s="15" t="n"/>
    </row>
    <row r="80">
      <c r="A80" t="inlineStr">
        <is>
          <t>Masked Person 91</t>
        </is>
      </c>
      <c r="B80" t="inlineStr">
        <is>
          <t>Staff/Assistant 1</t>
        </is>
      </c>
      <c r="C80" s="1" t="inlineStr">
        <is>
          <t>Coming on bench in 4 week(s)</t>
        </is>
      </c>
      <c r="D80" s="1" t="n">
        <v>0.566666666666667</v>
      </c>
      <c r="E80" s="1" t="n">
        <v>0.283333333333333</v>
      </c>
      <c r="F80" s="1" t="n">
        <v>1</v>
      </c>
      <c r="G80" s="14" t="n">
        <v>1</v>
      </c>
      <c r="H80" s="14" t="n">
        <v>1</v>
      </c>
      <c r="I80" s="14" t="n">
        <v>1</v>
      </c>
      <c r="J80" s="14" t="n">
        <v>0.4</v>
      </c>
      <c r="K80" s="14" t="n">
        <v>0</v>
      </c>
      <c r="L80" s="14" t="n">
        <v>0</v>
      </c>
      <c r="M80" s="14" t="n">
        <v>0</v>
      </c>
      <c r="N80" s="15" t="inlineStr">
        <is>
          <t>May 2026 - Apr 2027 Client M 100%</t>
        </is>
      </c>
      <c r="O80" s="15" t="inlineStr">
        <is>
          <t>Singaporean</t>
        </is>
      </c>
      <c r="P80" s="15" t="inlineStr">
        <is>
          <t>Enterprise Performance Management (EPM) System consultant/ Data engineer</t>
        </is>
      </c>
      <c r="Q80" s="15" t="inlineStr">
        <is>
          <t>Python, SQL</t>
        </is>
      </c>
      <c r="R80" s="15" t="inlineStr">
        <is>
          <t>Tagetik</t>
        </is>
      </c>
      <c r="S80" s="15" t="inlineStr">
        <is>
          <t>-</t>
        </is>
      </c>
      <c r="T80" s="15" t="inlineStr">
        <is>
          <t>Client N - Project N1 - ENG-012</t>
        </is>
      </c>
      <c r="U80" s="18" t="inlineStr">
        <is>
          <t>Masked Person 21?</t>
        </is>
      </c>
    </row>
    <row r="81" ht="28" customHeight="1" s="350">
      <c r="A81" t="inlineStr">
        <is>
          <t>Masked Person 92</t>
        </is>
      </c>
      <c r="B81" t="inlineStr">
        <is>
          <t>Staff/Assistant 1</t>
        </is>
      </c>
      <c r="C81" s="1" t="inlineStr">
        <is>
          <t>Coming on bench in 4 week(s)</t>
        </is>
      </c>
      <c r="D81" s="1" t="n">
        <v>1</v>
      </c>
      <c r="E81" s="1" t="n">
        <v>1</v>
      </c>
      <c r="F81" s="1" t="n">
        <v>1.21875</v>
      </c>
      <c r="G81" s="14" t="n">
        <v>1</v>
      </c>
      <c r="H81" s="14" t="n">
        <v>1</v>
      </c>
      <c r="I81" s="14" t="n">
        <v>1</v>
      </c>
      <c r="J81" s="14" t="n">
        <v>1</v>
      </c>
      <c r="K81" s="14" t="n">
        <v>1</v>
      </c>
      <c r="L81" s="14" t="n">
        <v>1</v>
      </c>
      <c r="M81" s="14" t="n">
        <v>1</v>
      </c>
      <c r="N81" s="16" t="inlineStr">
        <is>
          <t>Mar - May 2026 - Client G 50%
June - Dec 2026 - Client A 100%</t>
        </is>
      </c>
      <c r="O81" s="15" t="inlineStr">
        <is>
          <t>Singaporean</t>
        </is>
      </c>
      <c r="P81" s="15" t="inlineStr">
        <is>
          <t>Data Analyst, AI Developer (Client G)</t>
        </is>
      </c>
      <c r="Q81" s="11" t="inlineStr">
        <is>
          <t>Python, PySpark, SQL, C#, ML workflows, Scikit-learn, NLP, Azure Doc Intelligence</t>
        </is>
      </c>
      <c r="R81" s="11" t="inlineStr">
        <is>
          <t>Java, C++, Ruby</t>
        </is>
      </c>
      <c r="S81" s="11" t="inlineStr">
        <is>
          <t>Cloud Architecture, AI Development, AI Strategy</t>
        </is>
      </c>
      <c r="T81" s="15" t="inlineStr">
        <is>
          <t>Client G S/4HANA Implementation - ENG-016</t>
        </is>
      </c>
      <c r="U81" t="inlineStr">
        <is>
          <t>Masked Person 37</t>
        </is>
      </c>
    </row>
    <row r="82" ht="34.5" customHeight="1" s="350">
      <c r="A82" t="inlineStr">
        <is>
          <t>Masked Person 93</t>
        </is>
      </c>
      <c r="B82" t="inlineStr">
        <is>
          <t>Intern (CS) 1</t>
        </is>
      </c>
      <c r="C82" s="1" t="inlineStr">
        <is>
          <t>Coming on bench in 26 week(s)</t>
        </is>
      </c>
      <c r="D82" s="1" t="n">
        <v>1.02759</v>
      </c>
      <c r="E82" s="1" t="n">
        <v>1.02759</v>
      </c>
      <c r="F82" s="1" t="n">
        <v>1.02759</v>
      </c>
      <c r="G82" s="14" t="n">
        <v>1.02759</v>
      </c>
      <c r="H82" s="14" t="n">
        <v>1.02759</v>
      </c>
      <c r="I82" s="14" t="n">
        <v>1.02759</v>
      </c>
      <c r="J82" s="14" t="n">
        <v>1.02759</v>
      </c>
      <c r="K82" s="14" t="n">
        <v>1.02759</v>
      </c>
      <c r="L82" s="14" t="n">
        <v>1.02759</v>
      </c>
      <c r="M82" s="14" t="n">
        <v>1.02759</v>
      </c>
      <c r="N82" s="16" t="inlineStr">
        <is>
          <t>May - Dec 2026 - Client A 100%
Internship until Dec 2026</t>
        </is>
      </c>
      <c r="O82" s="15" t="n"/>
      <c r="P82" s="15" t="inlineStr">
        <is>
          <t>Machine Learning Developer</t>
        </is>
      </c>
      <c r="Q82" s="11" t="inlineStr">
        <is>
          <t>Python, C, C++, Assembly Language</t>
        </is>
      </c>
      <c r="R82" s="11" t="inlineStr">
        <is>
          <t>SQL, MySQL, Power BI</t>
        </is>
      </c>
      <c r="S82" s="11" t="inlineStr">
        <is>
          <t>AI</t>
        </is>
      </c>
      <c r="T82" s="15" t="inlineStr">
        <is>
          <t>Client A - Platform A1 (GovCloud) - ENG-017</t>
        </is>
      </c>
      <c r="U82" s="15" t="inlineStr">
        <is>
          <t>Masked Person 1</t>
        </is>
      </c>
    </row>
    <row r="83" ht="29" customHeight="1" s="350">
      <c r="A83" t="inlineStr">
        <is>
          <t>Masked Person 94</t>
        </is>
      </c>
      <c r="B83" t="inlineStr">
        <is>
          <t>Intern (CS) 1</t>
        </is>
      </c>
      <c r="C83" s="1" t="inlineStr">
        <is>
          <t>Coming on bench in 4 week(s)</t>
        </is>
      </c>
      <c r="D83" s="1" t="n">
        <v>0.566666666666667</v>
      </c>
      <c r="E83" s="1" t="n">
        <v>0.283333333333333</v>
      </c>
      <c r="F83" s="1" t="n">
        <v>1</v>
      </c>
      <c r="G83" s="14" t="n">
        <v>1</v>
      </c>
      <c r="H83" s="14" t="n">
        <v>1</v>
      </c>
      <c r="I83" s="14" t="n">
        <v>1</v>
      </c>
      <c r="J83" s="14" t="n">
        <v>0.4</v>
      </c>
      <c r="K83" s="14" t="n">
        <v>0</v>
      </c>
      <c r="L83" s="14" t="n">
        <v>0</v>
      </c>
      <c r="M83" s="14" t="n">
        <v>0</v>
      </c>
      <c r="N83" s="16" t="inlineStr">
        <is>
          <t>Mar - June 2026 Client F 100%
Internship until 30 June</t>
        </is>
      </c>
      <c r="O83" s="15" t="inlineStr">
        <is>
          <t xml:space="preserve">EP </t>
        </is>
      </c>
      <c r="P83" s="8" t="inlineStr">
        <is>
          <t>UAT tester</t>
        </is>
      </c>
      <c r="Q83" s="15" t="inlineStr">
        <is>
          <t>Python</t>
        </is>
      </c>
      <c r="R83" s="15" t="inlineStr">
        <is>
          <t>R / SQL</t>
        </is>
      </c>
      <c r="S83" s="15" t="n"/>
      <c r="T83" s="15" t="inlineStr">
        <is>
          <t>Client F - Project F1 - ENG-021</t>
        </is>
      </c>
      <c r="U83" t="inlineStr">
        <is>
          <t>Masked Person 29</t>
        </is>
      </c>
    </row>
    <row r="84">
      <c r="A84" t="inlineStr">
        <is>
          <t>Masked Person 95</t>
        </is>
      </c>
      <c r="B84" t="inlineStr">
        <is>
          <t>Senior 1</t>
        </is>
      </c>
      <c r="C84" s="1" t="inlineStr">
        <is>
          <t>Coming on bench in 4 week(s)</t>
        </is>
      </c>
      <c r="D84" s="1" t="n">
        <v>1</v>
      </c>
      <c r="E84" s="1" t="n">
        <v>1</v>
      </c>
      <c r="F84" s="1" t="n">
        <v>1</v>
      </c>
      <c r="G84" s="14" t="n">
        <v>1</v>
      </c>
      <c r="H84" s="14" t="n">
        <v>1</v>
      </c>
      <c r="I84" s="14" t="n">
        <v>1</v>
      </c>
      <c r="J84" s="14" t="n">
        <v>1</v>
      </c>
      <c r="K84" s="14" t="n">
        <v>1</v>
      </c>
      <c r="L84" s="14" t="n">
        <v>1</v>
      </c>
      <c r="M84" s="14" t="n">
        <v>1</v>
      </c>
      <c r="N84" s="15" t="inlineStr">
        <is>
          <t>Jan 2026 - Dec 2026 Client B 100%</t>
        </is>
      </c>
      <c r="O84" s="15" t="inlineStr">
        <is>
          <t>PR</t>
        </is>
      </c>
      <c r="P84" s="15" t="inlineStr">
        <is>
          <t>Maintenance and support lead</t>
        </is>
      </c>
      <c r="Q84" s="15" t="inlineStr">
        <is>
          <t>SAS, Postman, Alicloud, Microsoft Azure, MySql, Linux</t>
        </is>
      </c>
      <c r="R84" s="15" t="inlineStr">
        <is>
          <t>Python, Java, C++, HTML, CSS, Databricks</t>
        </is>
      </c>
      <c r="S84" s="15" t="inlineStr">
        <is>
          <t>AI Engineer</t>
        </is>
      </c>
      <c r="T84" s="15" t="inlineStr">
        <is>
          <t>Client B - System B1 Maintenance &amp; Support YR 2 to 5 - ENG-006</t>
        </is>
      </c>
      <c r="U84" t="inlineStr">
        <is>
          <t>Masked Person 11</t>
        </is>
      </c>
    </row>
    <row r="85">
      <c r="A85" t="inlineStr">
        <is>
          <t>Masked Person 96</t>
        </is>
      </c>
      <c r="B85" t="inlineStr">
        <is>
          <t>Manager 2</t>
        </is>
      </c>
      <c r="C85" s="1" t="inlineStr">
        <is>
          <t>Coming on bench in 4 week(s)</t>
        </is>
      </c>
      <c r="D85" s="1" t="n">
        <v>1</v>
      </c>
      <c r="E85" s="1" t="n">
        <v>0.666666666666667</v>
      </c>
      <c r="F85" s="1" t="n">
        <v>1</v>
      </c>
      <c r="G85" s="14" t="n">
        <v>1</v>
      </c>
      <c r="H85" s="14" t="n">
        <v>1</v>
      </c>
      <c r="I85" s="14" t="n">
        <v>1</v>
      </c>
      <c r="J85" s="14" t="n">
        <v>1</v>
      </c>
      <c r="K85" s="14" t="n">
        <v>1</v>
      </c>
      <c r="L85" s="14" t="n">
        <v>1</v>
      </c>
      <c r="M85" s="14" t="n">
        <v>1</v>
      </c>
      <c r="N85" s="15" t="inlineStr">
        <is>
          <t>Jan 2026 - Jul 2026 Client A 100%</t>
        </is>
      </c>
      <c r="O85" s="15" t="inlineStr">
        <is>
          <t>PR</t>
        </is>
      </c>
      <c r="P85" s="15" t="inlineStr">
        <is>
          <t>data scientist/ scrum master and project manager</t>
        </is>
      </c>
      <c r="Q85" s="15" t="inlineStr">
        <is>
          <t>cloud platform such as Azure</t>
        </is>
      </c>
      <c r="R85" s="15" t="inlineStr">
        <is>
          <t>Python/pyspark</t>
        </is>
      </c>
      <c r="S85" s="15" t="n"/>
      <c r="T85" s="15" t="inlineStr">
        <is>
          <t>Client A - Platform A1 Maintenance Phase 1 &amp;2 - ENG-003
Client A - Platform A1 in GovCloud - ENG-004</t>
        </is>
      </c>
      <c r="U85" t="inlineStr">
        <is>
          <t>Masked Person 13</t>
        </is>
      </c>
    </row>
    <row r="86" ht="29" customHeight="1" s="350">
      <c r="A86" t="inlineStr">
        <is>
          <t>Masked Person 71</t>
        </is>
      </c>
      <c r="B86" t="inlineStr">
        <is>
          <t>Intern (CS) 1</t>
        </is>
      </c>
      <c r="C86" t="inlineStr">
        <is>
          <t>Coming on bench in 0 week(s)</t>
        </is>
      </c>
      <c r="D86" s="1" t="n">
        <v>0</v>
      </c>
      <c r="E86" s="1" t="n">
        <v>0</v>
      </c>
      <c r="F86" s="14" t="n">
        <v>0</v>
      </c>
      <c r="G86" s="14" t="n">
        <v>0</v>
      </c>
      <c r="H86" s="14" t="n">
        <v>0</v>
      </c>
      <c r="I86" s="14" t="n">
        <v>0</v>
      </c>
      <c r="J86" s="14" t="n">
        <v>0</v>
      </c>
      <c r="K86" s="14" t="n">
        <v>0</v>
      </c>
      <c r="L86" s="14" t="n">
        <v>0</v>
      </c>
      <c r="M86" s="14" t="n">
        <v>0</v>
      </c>
      <c r="N86" s="16" t="inlineStr">
        <is>
          <t>Jan - June 2026 - Client A 100%
Internship until 12 June</t>
        </is>
      </c>
      <c r="O86" s="15" t="inlineStr">
        <is>
          <t>EP</t>
        </is>
      </c>
      <c r="P86" s="15" t="n"/>
      <c r="Q86" s="15" t="n"/>
      <c r="R86" s="15" t="n"/>
      <c r="S86" s="15" t="n"/>
      <c r="T86" s="15" t="inlineStr">
        <is>
          <t>Client A - Platform A1 (GovCloud) - ENG-017</t>
        </is>
      </c>
      <c r="U86" s="15" t="inlineStr">
        <is>
          <t>Masked Person 1</t>
        </is>
      </c>
    </row>
    <row r="87">
      <c r="A87" t="inlineStr">
        <is>
          <t>Masked Person 84</t>
        </is>
      </c>
      <c r="B87" t="inlineStr">
        <is>
          <t>Intern (CS) 1</t>
        </is>
      </c>
      <c r="C87" t="inlineStr">
        <is>
          <t>Coming on bench in 0 week(s)</t>
        </is>
      </c>
      <c r="D87" s="14" t="n">
        <v>0</v>
      </c>
      <c r="E87" s="14" t="n">
        <v>0</v>
      </c>
      <c r="F87" s="14" t="n">
        <v>0.4</v>
      </c>
      <c r="G87" s="14" t="n">
        <v>0</v>
      </c>
      <c r="H87" s="14" t="n">
        <v>0</v>
      </c>
      <c r="I87" s="14" t="n">
        <v>0</v>
      </c>
      <c r="J87" s="14" t="n">
        <v>0</v>
      </c>
      <c r="K87" s="14" t="n">
        <v>0</v>
      </c>
      <c r="L87" s="14" t="n">
        <v>0</v>
      </c>
      <c r="M87" s="14" t="n">
        <v>0</v>
      </c>
      <c r="N87" s="15" t="inlineStr">
        <is>
          <t>Jan - June 2026 - Client C
Internship until 30 June</t>
        </is>
      </c>
      <c r="O87" s="15" t="inlineStr">
        <is>
          <t xml:space="preserve">EP </t>
        </is>
      </c>
      <c r="P87" s="15" t="inlineStr">
        <is>
          <t>Project support</t>
        </is>
      </c>
      <c r="Q87" s="15" t="inlineStr">
        <is>
          <t>Python</t>
        </is>
      </c>
      <c r="R87" s="15" t="inlineStr">
        <is>
          <t>Azure Machine Learning</t>
        </is>
      </c>
      <c r="S87" s="15" t="inlineStr">
        <is>
          <t>Data Analyst</t>
        </is>
      </c>
      <c r="T87" s="15" t="inlineStr">
        <is>
          <t>Client C - Platform C1 - Implementation Release 2 and 3 - ENG-014
HOUSING &amp; DEVELOPMENT BOARD - Client E System E1 Support - ENG-005</t>
        </is>
      </c>
      <c r="U87" t="inlineStr">
        <is>
          <t>Masked Person 61</t>
        </is>
      </c>
    </row>
    <row r="88" ht="29" customHeight="1" s="350">
      <c r="A88" t="inlineStr">
        <is>
          <t>Masked Person 94</t>
        </is>
      </c>
      <c r="B88" t="inlineStr">
        <is>
          <t>Intern (CS) 1</t>
        </is>
      </c>
      <c r="C88" t="inlineStr">
        <is>
          <t>Coming on bench in 0 week(s)</t>
        </is>
      </c>
      <c r="D88" s="14" t="n">
        <v>0</v>
      </c>
      <c r="E88" s="14" t="n">
        <v>0</v>
      </c>
      <c r="F88" s="14" t="n">
        <v>0.4</v>
      </c>
      <c r="G88" s="14" t="n">
        <v>0</v>
      </c>
      <c r="H88" s="14" t="n">
        <v>0</v>
      </c>
      <c r="I88" s="14" t="n">
        <v>0</v>
      </c>
      <c r="J88" s="14" t="n">
        <v>0</v>
      </c>
      <c r="K88" s="14" t="n">
        <v>0</v>
      </c>
      <c r="L88" s="14" t="n">
        <v>0</v>
      </c>
      <c r="M88" s="14" t="n">
        <v>0</v>
      </c>
      <c r="N88" s="16" t="inlineStr">
        <is>
          <t>Mar - June 2026 Client F 100%
Internship until 30 June</t>
        </is>
      </c>
      <c r="O88" s="15" t="inlineStr">
        <is>
          <t xml:space="preserve">EP </t>
        </is>
      </c>
      <c r="P88" s="8" t="inlineStr">
        <is>
          <t>UAT tester</t>
        </is>
      </c>
      <c r="Q88" s="15" t="inlineStr">
        <is>
          <t>Python</t>
        </is>
      </c>
      <c r="R88" s="15" t="inlineStr">
        <is>
          <t>R / SQL</t>
        </is>
      </c>
      <c r="S88" s="15" t="n"/>
      <c r="T88" s="15" t="inlineStr">
        <is>
          <t>Client F - Project F1 - ENG-021</t>
        </is>
      </c>
      <c r="U88" t="inlineStr">
        <is>
          <t>Masked Person 29</t>
        </is>
      </c>
    </row>
    <row r="89" ht="29" customHeight="1" s="350">
      <c r="A89" t="inlineStr">
        <is>
          <t>Masked Person 82</t>
        </is>
      </c>
      <c r="B89" t="inlineStr">
        <is>
          <t>Manager 2</t>
        </is>
      </c>
      <c r="C89" t="inlineStr">
        <is>
          <t>Coming on bench in 0 week(s)</t>
        </is>
      </c>
      <c r="D89" s="14" t="n">
        <v>0</v>
      </c>
      <c r="E89" s="14" t="n">
        <v>0</v>
      </c>
      <c r="F89" s="14" t="n">
        <v>0</v>
      </c>
      <c r="G89" s="14" t="n">
        <v>0</v>
      </c>
      <c r="H89" s="14" t="n">
        <v>0</v>
      </c>
      <c r="I89" s="14" t="n">
        <v>0</v>
      </c>
      <c r="J89" s="14" t="n">
        <v>0</v>
      </c>
      <c r="K89" s="14" t="n">
        <v>0</v>
      </c>
      <c r="L89" s="14" t="n">
        <v>0</v>
      </c>
      <c r="M89" s="14" t="n">
        <v>0</v>
      </c>
      <c r="N89" s="16" t="inlineStr">
        <is>
          <t>May 2026 - Client J 40%
Resigned as of 3rd July</t>
        </is>
      </c>
      <c r="O89" s="15" t="inlineStr">
        <is>
          <t xml:space="preserve">EP </t>
        </is>
      </c>
      <c r="P89" s="15" t="inlineStr">
        <is>
          <t>Data Analyst, BI Developer</t>
        </is>
      </c>
      <c r="Q89" s="15" t="inlineStr">
        <is>
          <t>Python, Power BI, Copilot Studio, R, SQL</t>
        </is>
      </c>
      <c r="R89" s="17" t="inlineStr">
        <is>
          <t>Azure Foundry</t>
        </is>
      </c>
      <c r="S89" s="17" t="inlineStr">
        <is>
          <t>Data Scientist/AI Engineer</t>
        </is>
      </c>
      <c r="T89" s="17" t="inlineStr">
        <is>
          <t>Client J Construction Analytics &amp; AI MVP</t>
        </is>
      </c>
      <c r="U89" s="17" t="inlineStr">
        <is>
          <t>Masked Person 29</t>
        </is>
      </c>
    </row>
    <row r="90" ht="15" customHeight="1" s="350">
      <c r="A90" s="25" t="inlineStr">
        <is>
          <t>Masked Person 43</t>
        </is>
      </c>
      <c r="B90" t="inlineStr">
        <is>
          <t>Senior 2</t>
        </is>
      </c>
      <c r="C90" t="inlineStr">
        <is>
          <t>Coming on bench in 9 week(s)</t>
        </is>
      </c>
      <c r="D90" s="14" t="n">
        <v>1.02326</v>
      </c>
      <c r="E90" s="14" t="n">
        <v>0.733336083333333</v>
      </c>
      <c r="F90" s="14" t="n">
        <v>1.02326</v>
      </c>
      <c r="G90" s="14" t="n">
        <v>1.02326</v>
      </c>
      <c r="H90" s="14" t="n">
        <v>1.02326</v>
      </c>
      <c r="I90" s="14" t="n">
        <v>1.02326</v>
      </c>
      <c r="J90" s="14" t="n">
        <v>1.02326</v>
      </c>
      <c r="K90" s="14" t="n">
        <v>1.02326</v>
      </c>
      <c r="L90" s="14" t="n">
        <v>1.02326</v>
      </c>
      <c r="M90" s="14" t="n">
        <v>1.02326</v>
      </c>
      <c r="N90" t="inlineStr">
        <is>
          <t>Resigned and left the organization</t>
        </is>
      </c>
      <c r="O90" s="33" t="n">
        <v>0</v>
      </c>
      <c r="P90" s="33" t="n">
        <v>0</v>
      </c>
      <c r="Q90" s="33" t="n">
        <v>0</v>
      </c>
      <c r="R90" s="33" t="n">
        <v>0</v>
      </c>
      <c r="S90" s="36" t="n"/>
      <c r="T90" s="40" t="n"/>
      <c r="U90" s="15" t="inlineStr">
        <is>
          <t>PR</t>
        </is>
      </c>
      <c r="V90" s="15" t="inlineStr">
        <is>
          <t>Data Engineer</t>
        </is>
      </c>
      <c r="W90" s="15" t="inlineStr">
        <is>
          <t>Excel, Synapse, SSMS, SQL, Pyspark, PowerBI</t>
        </is>
      </c>
      <c r="X90" s="15" t="inlineStr">
        <is>
          <t>Azure Data Factory</t>
        </is>
      </c>
      <c r="Y90" s="41">
        <f t="array" ref="Y90">_xlfn.TEXTJOIN(", ",TRUE,_xlfn._xlws.FILTER(Master!$AB$1:$AI$1,$Z90:$AG90="Yes"))</f>
        <v/>
      </c>
      <c r="Z90" s="15" t="inlineStr">
        <is>
          <t>Yes</t>
        </is>
      </c>
      <c r="AA90" s="15" t="n"/>
      <c r="AB90" s="15" t="n"/>
      <c r="AC90" s="15" t="n"/>
      <c r="AD90" s="15" t="n"/>
      <c r="AE90" s="15" t="n"/>
      <c r="AF90" s="15" t="n"/>
      <c r="AG90" s="15" t="inlineStr">
        <is>
          <t>Yes</t>
        </is>
      </c>
      <c r="AH90" s="15" t="inlineStr">
        <is>
          <t>Business Analyst</t>
        </is>
      </c>
      <c r="AI90" s="15" t="inlineStr">
        <is>
          <t>Client C - Platform C1 - Implementation Release 2 and 3 - ENG-014</t>
        </is>
      </c>
      <c r="AJ90" t="inlineStr">
        <is>
          <t>Masked Person 61</t>
        </is>
      </c>
    </row>
    <row r="91" ht="15" customHeight="1" s="350">
      <c r="A91" t="inlineStr">
        <is>
          <t>Masked Person 14</t>
        </is>
      </c>
      <c r="B91" t="inlineStr">
        <is>
          <t>Senior 3</t>
        </is>
      </c>
      <c r="C91" t="inlineStr">
        <is>
          <t>Benching for 4 week(s)</t>
        </is>
      </c>
      <c r="D91" s="14" t="n">
        <v>0</v>
      </c>
      <c r="E91" s="14" t="n">
        <v>0</v>
      </c>
      <c r="F91" s="14" t="n">
        <v>0</v>
      </c>
      <c r="G91" s="14" t="n">
        <v>0</v>
      </c>
      <c r="H91" s="14" t="n">
        <v>0</v>
      </c>
      <c r="I91" s="14" t="n">
        <v>0</v>
      </c>
      <c r="J91" s="14" t="n">
        <v>0</v>
      </c>
      <c r="K91" s="14" t="n">
        <v>0</v>
      </c>
      <c r="L91" s="14" t="n">
        <v>0</v>
      </c>
      <c r="M91" s="14" t="n">
        <v>0</v>
      </c>
      <c r="N91" s="122" t="inlineStr">
        <is>
          <t>Resigned and left the organization</t>
        </is>
      </c>
      <c r="O91" s="2">
        <f>IF($F91&gt;=100%,"NA",IF(F91=0%,"Bench","Partial Bench"))</f>
        <v/>
      </c>
      <c r="P91" s="153" t="n"/>
      <c r="Q91" s="14" t="n"/>
      <c r="R91" s="14" t="n"/>
      <c r="S91" s="14" t="n"/>
      <c r="T91" s="36" t="n"/>
      <c r="U91" s="40" t="n"/>
      <c r="V91" t="inlineStr">
        <is>
          <t>EP</t>
        </is>
      </c>
      <c r="Z91" s="41" t="n"/>
    </row>
    <row r="92" ht="43.5" customHeight="1" s="350">
      <c r="A92" t="inlineStr">
        <is>
          <t>Masked Person 2</t>
        </is>
      </c>
      <c r="B92" t="inlineStr">
        <is>
          <t>Intern (CS) 1</t>
        </is>
      </c>
      <c r="C92" t="inlineStr">
        <is>
          <t>AI and Data</t>
        </is>
      </c>
      <c r="D92" s="14" t="inlineStr">
        <is>
          <t>Benching for 1 week(s)</t>
        </is>
      </c>
      <c r="E92" s="14" t="n">
        <v>0</v>
      </c>
      <c r="F92" s="14" t="n">
        <v>0</v>
      </c>
      <c r="G92" s="14" t="n">
        <v>0</v>
      </c>
      <c r="H92" s="14" t="n">
        <v>0</v>
      </c>
      <c r="I92" s="14" t="n">
        <v>0</v>
      </c>
      <c r="J92" s="14" t="n">
        <v>0</v>
      </c>
      <c r="K92" s="14" t="n">
        <v>0</v>
      </c>
      <c r="L92" s="14" t="n">
        <v>0</v>
      </c>
      <c r="M92" s="14" t="n">
        <v>0</v>
      </c>
      <c r="N92" s="110" t="inlineStr">
        <is>
          <t>May - Aug 2027 Client G 
May - Aug 2026 - Client G 100%
Internship until 7 Aug</t>
        </is>
      </c>
      <c r="O92" s="2">
        <f>IF($F92&gt;=100%,"NA",IF(F92=0%,"Bench","Partial Bench"))</f>
        <v/>
      </c>
      <c r="P92" s="153" t="n">
        <v>0</v>
      </c>
      <c r="Q92" s="153" t="n">
        <v>0</v>
      </c>
      <c r="R92" s="153" t="n">
        <v>0</v>
      </c>
      <c r="S92" s="153" t="n">
        <v>0</v>
      </c>
      <c r="T92" s="31" t="inlineStr">
        <is>
          <t xml:space="preserve">100%
</t>
        </is>
      </c>
      <c r="U92" s="40" t="n">
        <v>46211</v>
      </c>
      <c r="V92" t="inlineStr">
        <is>
          <t>Singaporean</t>
        </is>
      </c>
      <c r="W92" t="inlineStr">
        <is>
          <t>Tech Consultant</t>
        </is>
      </c>
      <c r="X92" s="15" t="inlineStr">
        <is>
          <t>Python, MySQL, C++, Javascript, Typescript</t>
        </is>
      </c>
      <c r="Y92" s="16" t="inlineStr">
        <is>
          <t>Python
PyTorch, Scikit-learn, SHAP, Model Optimization, Feature Engineering</t>
        </is>
      </c>
      <c r="Z92" s="41">
        <f t="array" ref="Z92">_xlfn.TEXTJOIN(", ",TRUE,_xlfn._xlws.FILTER(Master!$AB$1:$AI$1,$AA92:$AH92="Yes"))</f>
        <v/>
      </c>
      <c r="AA92" s="26" t="inlineStr">
        <is>
          <t>Yes</t>
        </is>
      </c>
      <c r="AB92" s="16" t="n"/>
      <c r="AC92" s="26" t="inlineStr">
        <is>
          <t>Yes</t>
        </is>
      </c>
      <c r="AD92" s="26" t="inlineStr">
        <is>
          <t>Yes</t>
        </is>
      </c>
      <c r="AE92" s="16" t="n"/>
      <c r="AF92" s="16" t="n"/>
      <c r="AG92" s="16" t="n"/>
      <c r="AH92" s="16" t="n"/>
      <c r="AI92" s="23" t="inlineStr">
        <is>
          <t>AI/ML Ops
Software Developer / AI Engineer</t>
        </is>
      </c>
      <c r="AJ92" s="15" t="inlineStr">
        <is>
          <t>Client G S/4HANA Implementation - ENG-016</t>
        </is>
      </c>
      <c r="AK92" t="inlineStr">
        <is>
          <t>Masked Person 37</t>
        </is>
      </c>
    </row>
    <row r="93" ht="43.5" customHeight="1" s="350">
      <c r="A93" t="inlineStr">
        <is>
          <t>Masked Person 85</t>
        </is>
      </c>
      <c r="B93" t="inlineStr">
        <is>
          <t>Intern (CS) 1</t>
        </is>
      </c>
      <c r="C93" t="inlineStr">
        <is>
          <t>AI and Data</t>
        </is>
      </c>
      <c r="D93" s="14" t="inlineStr">
        <is>
          <t>Benching for 2 week(s)</t>
        </is>
      </c>
      <c r="E93" s="14" t="n">
        <v>0</v>
      </c>
      <c r="F93" s="14" t="n">
        <v>0</v>
      </c>
      <c r="G93" s="14" t="n">
        <v>0</v>
      </c>
      <c r="H93" s="14" t="n">
        <v>0</v>
      </c>
      <c r="I93" s="14" t="n">
        <v>0</v>
      </c>
      <c r="J93" s="14" t="n">
        <v>0</v>
      </c>
      <c r="K93" s="14" t="n">
        <v>0</v>
      </c>
      <c r="L93" s="14" t="n">
        <v>0</v>
      </c>
      <c r="M93" s="14" t="n">
        <v>0</v>
      </c>
      <c r="N93" s="124" t="inlineStr">
        <is>
          <t>From Mid June: 
Ad-hoc support on Client Z Tender Clarifications,  Client U AI Immersion Presentation,  Alliance org slides, Client R Strawman, CV Mapping
Internship until 7 Aug</t>
        </is>
      </c>
      <c r="O93" s="2">
        <f>IF($F93&gt;=100%,"NA",IF(F93=0%,"Bench","Partial Bench"))</f>
        <v/>
      </c>
      <c r="P93" s="153" t="n">
        <v>0</v>
      </c>
      <c r="Q93" s="153" t="n">
        <v>1</v>
      </c>
      <c r="R93" s="153" t="n">
        <v>1</v>
      </c>
      <c r="S93" s="153" t="n">
        <v>1</v>
      </c>
      <c r="T93" s="35" t="n"/>
      <c r="U93" s="35" t="n"/>
      <c r="V93" s="15" t="inlineStr">
        <is>
          <t>EP</t>
        </is>
      </c>
      <c r="W93" s="15" t="inlineStr">
        <is>
          <t>Data Engineer (Client A Phase 3)</t>
        </is>
      </c>
      <c r="X93" s="15" t="inlineStr">
        <is>
          <t>Azure Synapse Workspace, Python, SQL</t>
        </is>
      </c>
      <c r="Y93" s="15" t="inlineStr">
        <is>
          <t>Azure Devops</t>
        </is>
      </c>
      <c r="Z93" s="41">
        <f t="array" ref="Z93">_xlfn.TEXTJOIN(", ",TRUE,_xlfn._xlws.FILTER(Master!$AB$1:$AI$1,$AA93:$AH93="Yes"))</f>
        <v/>
      </c>
      <c r="AA93" s="15" t="inlineStr">
        <is>
          <t>Yes</t>
        </is>
      </c>
      <c r="AB93" s="15" t="n"/>
      <c r="AC93" s="15" t="n"/>
      <c r="AD93" s="15" t="n"/>
      <c r="AE93" s="15" t="n"/>
      <c r="AF93" s="15" t="n"/>
      <c r="AG93" s="15" t="inlineStr">
        <is>
          <t>Yes</t>
        </is>
      </c>
      <c r="AH93" s="15" t="inlineStr">
        <is>
          <t>Yes</t>
        </is>
      </c>
      <c r="AI93" s="15" t="inlineStr">
        <is>
          <t>Data Scientist</t>
        </is>
      </c>
      <c r="AJ93" s="16" t="inlineStr">
        <is>
          <t>From 3 Aug: Proposals/ BD- Ad-hoc Support on Client R Client study, CV Mapping
15 June to 17 July: Proposals/ BD- Client R AI Governance Proposal, Client Z Tender Clarifications, Alliance Deck, Client V, Client W, Client L
Client A - Platform A1 in GovCloud - ENG-004</t>
        </is>
      </c>
      <c r="AK93" s="15" t="inlineStr">
        <is>
          <t>Masked Person 16</t>
        </is>
      </c>
    </row>
    <row r="94" ht="15" customHeight="1" s="350">
      <c r="A94" t="inlineStr">
        <is>
          <t>Masked Person 50</t>
        </is>
      </c>
      <c r="B94" t="inlineStr">
        <is>
          <t>Senior 3</t>
        </is>
      </c>
      <c r="C94" t="inlineStr">
        <is>
          <t>Benching for 7 week(s)</t>
        </is>
      </c>
      <c r="D94" s="14" t="n">
        <v>0</v>
      </c>
      <c r="E94" s="14" t="n">
        <v>0</v>
      </c>
      <c r="F94" s="14" t="n">
        <v>0</v>
      </c>
      <c r="G94" s="14" t="n">
        <v>0</v>
      </c>
      <c r="H94" s="14" t="n">
        <v>0</v>
      </c>
      <c r="I94" s="14" t="n">
        <v>0</v>
      </c>
      <c r="J94" s="14" t="n">
        <v>0</v>
      </c>
      <c r="K94" s="14" t="n">
        <v>0</v>
      </c>
      <c r="L94" s="14" t="n">
        <v>0</v>
      </c>
      <c r="M94" s="14" t="n">
        <v>0</v>
      </c>
      <c r="N94" s="125" t="inlineStr">
        <is>
          <t>Resigned &amp; last day is 26Aug2026
On bench, admin code, helping with BD</t>
        </is>
      </c>
      <c r="O94" s="2">
        <f>IF($F94&gt;=100%,"NA",IF(F94=0%,"Bench","Partial Bench"))</f>
        <v/>
      </c>
      <c r="P94" s="153" t="n">
        <v>1</v>
      </c>
      <c r="Q94" s="153" t="inlineStr">
        <is>
          <t>-</t>
        </is>
      </c>
      <c r="R94" s="153" t="inlineStr">
        <is>
          <t>-</t>
        </is>
      </c>
      <c r="S94" s="153" t="inlineStr">
        <is>
          <t>-</t>
        </is>
      </c>
      <c r="T94" s="37" t="inlineStr">
        <is>
          <t>-</t>
        </is>
      </c>
      <c r="U94" s="40" t="n">
        <v>46265</v>
      </c>
      <c r="V94" s="15" t="inlineStr">
        <is>
          <t>EP</t>
        </is>
      </c>
      <c r="W94" s="15" t="inlineStr">
        <is>
          <t>Data Platform &amp; MLOps Engineer</t>
        </is>
      </c>
      <c r="X94" s="15" t="inlineStr">
        <is>
          <t>Cloud &amp; Platforms, DevOps &amp; IaC, Monitoring &amp; Ops, Enterprise Platforms, Azure / Windows / Linux / DevOps</t>
        </is>
      </c>
      <c r="Y94" s="15" t="inlineStr">
        <is>
          <t>Data Platforms, Networking &amp; Security, Automation &amp; Scripting, Storage, AWS / Docker / Kubernetes / Terraform /Powershell</t>
        </is>
      </c>
      <c r="Z94" s="41">
        <f t="array" ref="Z94">_xlfn.TEXTJOIN(", ",TRUE,_xlfn._xlws.FILTER(Master!$AB$1:$AI$1,$AA94:$AH94="Yes"))</f>
        <v/>
      </c>
      <c r="AA94" s="15" t="n"/>
      <c r="AB94" s="15" t="n"/>
      <c r="AC94" s="15" t="n"/>
      <c r="AD94" s="15" t="n"/>
      <c r="AE94" s="15" t="n"/>
      <c r="AF94" s="15" t="inlineStr">
        <is>
          <t>Yes</t>
        </is>
      </c>
      <c r="AG94" s="15" t="n"/>
      <c r="AH94" s="15" t="inlineStr">
        <is>
          <t>Yes</t>
        </is>
      </c>
      <c r="AI94" s="15" t="inlineStr">
        <is>
          <t>Azure Engineering</t>
        </is>
      </c>
      <c r="AJ94" s="15" t="inlineStr">
        <is>
          <t>Client G S/4HANA Implementation - ENG-016</t>
        </is>
      </c>
      <c r="AK94" t="inlineStr">
        <is>
          <t>Masked Person 37</t>
        </is>
      </c>
      <c r="AN94" s="28" t="n"/>
    </row>
    <row r="95" ht="15" customHeight="1" s="350">
      <c r="A95" t="inlineStr">
        <is>
          <t>Masked Person 47</t>
        </is>
      </c>
      <c r="B95" t="inlineStr">
        <is>
          <t>Staff/Assistant 2</t>
        </is>
      </c>
      <c r="C95" t="e">
        <v>#N/A</v>
      </c>
      <c r="D95" s="14" t="e">
        <v>#N/A</v>
      </c>
      <c r="E95" s="14" t="e">
        <v>#N/A</v>
      </c>
      <c r="F95" s="14" t="e">
        <v>#N/A</v>
      </c>
      <c r="G95" s="14" t="e">
        <v>#N/A</v>
      </c>
      <c r="H95" s="14" t="e">
        <v>#N/A</v>
      </c>
      <c r="I95" s="14" t="e">
        <v>#N/A</v>
      </c>
      <c r="J95" s="14" t="e">
        <v>#N/A</v>
      </c>
      <c r="K95" s="14" t="e">
        <v>#N/A</v>
      </c>
      <c r="L95" s="14" t="e">
        <v>#N/A</v>
      </c>
      <c r="M95" s="14" t="e">
        <v>#N/A</v>
      </c>
      <c r="N95" s="123" t="inlineStr">
        <is>
          <t>Jan 2026 - Oct 2026 Client E 100%</t>
        </is>
      </c>
      <c r="O95" s="2">
        <f>IF($F95&gt;=100%,"NA",IF(F95=0%,"Bench","Partial Bench"))</f>
        <v/>
      </c>
      <c r="P95" s="153" t="n">
        <v>0</v>
      </c>
      <c r="Q95" s="153" t="n">
        <v>0</v>
      </c>
      <c r="R95" s="153" t="n">
        <v>0</v>
      </c>
      <c r="S95" s="153" t="n">
        <v>1</v>
      </c>
      <c r="T95" s="32" t="n"/>
      <c r="U95" s="40" t="n"/>
      <c r="V95" s="15" t="inlineStr">
        <is>
          <t>EP</t>
        </is>
      </c>
      <c r="W95" s="15" t="inlineStr">
        <is>
          <t>Data Scientist</t>
        </is>
      </c>
      <c r="X95" s="15" t="inlineStr">
        <is>
          <t>Python, SQL, R, Git, Github, Azure, Databricks, Docker, Databases (MySQL,, MongoDB, PostgreSQL, Snowflake), Power BI, Microsoft Fabric, Scikit Learn</t>
        </is>
      </c>
      <c r="Y95" s="15" t="inlineStr">
        <is>
          <t>Spark (PySpark, Spark SQL), SQL Server, Tableau, Google Looker, PyTorch</t>
        </is>
      </c>
      <c r="Z95" s="41">
        <f t="array" ref="Z95">_xlfn.TEXTJOIN(", ",TRUE,_xlfn._xlws.FILTER(Master!$AB$1:$AI$1,$AA95:$AH95="Yes"))</f>
        <v/>
      </c>
      <c r="AA95" s="15" t="inlineStr">
        <is>
          <t>Yes</t>
        </is>
      </c>
      <c r="AB95" s="15" t="n"/>
      <c r="AC95" s="15" t="inlineStr">
        <is>
          <t>Yes</t>
        </is>
      </c>
      <c r="AD95" s="15" t="inlineStr">
        <is>
          <t>Yes</t>
        </is>
      </c>
      <c r="AE95" s="15" t="n"/>
      <c r="AF95" s="15" t="n"/>
      <c r="AG95" s="15" t="n"/>
      <c r="AH95" s="15" t="n"/>
      <c r="AI95" s="15" t="inlineStr">
        <is>
          <t>Data Engineer, Big Data</t>
        </is>
      </c>
      <c r="AJ95" s="15" t="inlineStr">
        <is>
          <t>HOUSING &amp; DEVELOPMENT BOARD - Client E System E1 Support - ENG-005</t>
        </is>
      </c>
      <c r="AK95" t="inlineStr">
        <is>
          <t>Masked Person 13</t>
        </is>
      </c>
    </row>
    <row r="96">
      <c r="D96" s="1" t="n"/>
      <c r="E96" s="1" t="n"/>
      <c r="F96" s="1" t="n"/>
      <c r="G96" s="1" t="n"/>
      <c r="H96" s="1" t="n"/>
      <c r="I96" s="1" t="n"/>
      <c r="J96" s="1" t="n"/>
      <c r="K96" s="1" t="n"/>
      <c r="L96" s="1" t="n"/>
      <c r="M96" s="1" t="n"/>
    </row>
    <row r="97" ht="72.5" customHeight="1" s="350">
      <c r="A97" s="22" t="inlineStr">
        <is>
          <t>Client B</t>
        </is>
      </c>
      <c r="B97" s="24" t="inlineStr">
        <is>
          <t>Masked Person 85
Masked Person 86 - End June 2026
Masked Person 7 - End Aug 2026</t>
        </is>
      </c>
      <c r="C97" s="1" t="n"/>
      <c r="D97" s="1" t="n"/>
      <c r="E97" s="1" t="n"/>
      <c r="F97" s="1" t="n"/>
      <c r="G97" s="1" t="n"/>
      <c r="H97" s="1" t="n"/>
      <c r="I97" s="1" t="n"/>
      <c r="J97" s="1" t="n"/>
      <c r="K97" s="1" t="n"/>
      <c r="L97" s="1" t="n"/>
      <c r="M97" s="1" t="n"/>
    </row>
    <row r="98" ht="87" customHeight="1" s="350">
      <c r="A98" s="22" t="inlineStr">
        <is>
          <t>Client F</t>
        </is>
      </c>
      <c r="B98" s="24" t="inlineStr">
        <is>
          <t>Masked Person 83
Masked Person 5, Masked Person 94
Masked Person 38
Masked Person 39
Masked Person 34
Masked Person 35</t>
        </is>
      </c>
      <c r="C98" s="1" t="inlineStr">
        <is>
          <t>May</t>
        </is>
      </c>
      <c r="D98" s="1" t="inlineStr">
        <is>
          <t>Masked Person 64</t>
        </is>
      </c>
      <c r="E98" s="1" t="n"/>
      <c r="F98" s="1" t="n"/>
      <c r="G98" s="1" t="n"/>
      <c r="H98" s="1" t="n"/>
      <c r="I98" s="1" t="n"/>
      <c r="J98" s="1" t="n"/>
      <c r="K98" s="1" t="n"/>
      <c r="L98" s="1" t="n"/>
      <c r="M98" s="1" t="n"/>
    </row>
    <row r="99" ht="174" customHeight="1" s="350">
      <c r="A99" t="inlineStr">
        <is>
          <t>Client A</t>
        </is>
      </c>
      <c r="B99" s="23" t="inlineStr">
        <is>
          <t>Masked Person 76 - end July
Masked Person 88 - end June
Masked Person 89 - end June
Masked Person 71 - end June
Masked Person 67
Masked Person 59 - End Dec
Masked Person 14 - end May
Masked Person 36 - end June
Masked Person 9 - end June</t>
        </is>
      </c>
      <c r="C99" s="1" t="n"/>
      <c r="D99" s="1" t="n"/>
      <c r="E99" s="1" t="n"/>
      <c r="F99" s="1" t="n"/>
      <c r="G99" s="1" t="n"/>
      <c r="H99" s="1" t="n"/>
      <c r="I99" s="1" t="n"/>
      <c r="J99" s="1" t="n"/>
      <c r="K99" s="1" t="n"/>
      <c r="L99" s="1" t="n"/>
      <c r="M99" s="1" t="n"/>
    </row>
    <row r="100" ht="29" customHeight="1" s="350">
      <c r="A100" t="inlineStr">
        <is>
          <t>Client C</t>
        </is>
      </c>
      <c r="B100" s="23" t="inlineStr">
        <is>
          <t>Masked Person 84 - end June
Masked Person 75 - end Jun</t>
        </is>
      </c>
      <c r="C100" s="1" t="n"/>
      <c r="D100" s="1" t="n"/>
      <c r="E100" s="1" t="n"/>
      <c r="F100" s="1" t="n"/>
      <c r="G100" s="1" t="n"/>
      <c r="H100" s="1" t="n"/>
      <c r="I100" s="1" t="n"/>
      <c r="J100" s="1" t="n"/>
      <c r="K100" s="1" t="n"/>
      <c r="L100" s="1" t="n"/>
      <c r="M100" s="1" t="n"/>
    </row>
    <row r="101">
      <c r="D101" s="1" t="n"/>
      <c r="E101" s="1" t="n"/>
      <c r="F101" s="1" t="n"/>
      <c r="G101" s="1" t="n"/>
      <c r="H101" s="1" t="n"/>
      <c r="I101" s="1" t="n"/>
      <c r="J101" s="1" t="n"/>
      <c r="K101" s="1" t="n"/>
      <c r="L101" s="1" t="n"/>
      <c r="M101" s="1" t="n"/>
    </row>
    <row r="102">
      <c r="D102" s="1" t="n"/>
      <c r="E102" s="1" t="n"/>
      <c r="F102" s="1" t="n"/>
      <c r="G102" s="1" t="n"/>
      <c r="H102" s="1" t="n"/>
      <c r="I102" s="1" t="n"/>
      <c r="J102" s="1" t="n"/>
      <c r="K102" s="1" t="n"/>
      <c r="L102" s="1" t="n"/>
      <c r="M102" s="1" t="n"/>
    </row>
    <row r="103">
      <c r="D103" s="1" t="n"/>
      <c r="E103" s="1" t="n"/>
      <c r="F103" s="1" t="n"/>
      <c r="G103" s="1" t="n"/>
      <c r="H103" s="1" t="n"/>
      <c r="I103" s="1" t="n"/>
      <c r="J103" s="1" t="n"/>
      <c r="K103" s="1" t="n"/>
      <c r="L103" s="1" t="n"/>
      <c r="M103" s="1" t="n"/>
    </row>
    <row r="104">
      <c r="D104" s="1" t="n"/>
      <c r="E104" s="1" t="n"/>
      <c r="F104" s="1" t="n"/>
      <c r="G104" s="1" t="n"/>
      <c r="H104" s="1" t="n"/>
      <c r="I104" s="1" t="n"/>
      <c r="J104" s="1" t="n"/>
      <c r="K104" s="1" t="n"/>
      <c r="L104" s="1" t="n"/>
      <c r="M104" s="1" t="n"/>
    </row>
    <row r="105">
      <c r="D105" s="1" t="n"/>
      <c r="E105" s="1" t="n"/>
      <c r="F105" s="1" t="n"/>
      <c r="G105" s="1" t="n"/>
      <c r="H105" s="1" t="n"/>
      <c r="I105" s="1" t="n"/>
      <c r="J105" s="1" t="n"/>
      <c r="K105" s="1" t="n"/>
      <c r="L105" s="1" t="n"/>
      <c r="M105" s="1" t="n"/>
    </row>
    <row r="106">
      <c r="D106" s="1" t="n"/>
      <c r="E106" s="1" t="n"/>
      <c r="F106" s="1" t="n"/>
      <c r="G106" s="1" t="n"/>
      <c r="H106" s="1" t="n"/>
      <c r="I106" s="1" t="n"/>
      <c r="J106" s="1" t="n"/>
      <c r="K106" s="1" t="n"/>
      <c r="L106" s="1" t="n"/>
      <c r="M106" s="1" t="n"/>
    </row>
    <row r="107">
      <c r="D107" s="1" t="n"/>
      <c r="E107" s="1" t="n"/>
      <c r="F107" s="1" t="n"/>
      <c r="G107" s="1" t="n"/>
      <c r="H107" s="1" t="n"/>
      <c r="I107" s="1" t="n"/>
      <c r="J107" s="1" t="n"/>
      <c r="K107" s="1" t="n"/>
      <c r="L107" s="1" t="n"/>
      <c r="M107" s="1" t="n"/>
    </row>
    <row r="108">
      <c r="D108" s="1" t="n"/>
      <c r="E108" s="1" t="n"/>
      <c r="F108" s="1" t="n"/>
      <c r="G108" s="1" t="n"/>
      <c r="H108" s="1" t="n"/>
      <c r="I108" s="1" t="n"/>
      <c r="J108" s="1" t="n"/>
      <c r="K108" s="1" t="n"/>
      <c r="L108" s="1" t="n"/>
      <c r="M108" s="1" t="n"/>
    </row>
    <row r="109">
      <c r="D109" s="1" t="n"/>
      <c r="E109" s="1" t="n"/>
      <c r="F109" s="1" t="n"/>
      <c r="G109" s="1" t="n"/>
      <c r="H109" s="1" t="n"/>
      <c r="I109" s="1" t="n"/>
      <c r="J109" s="1" t="n"/>
      <c r="K109" s="1" t="n"/>
      <c r="L109" s="1" t="n"/>
      <c r="M109" s="1" t="n"/>
    </row>
    <row r="110">
      <c r="D110" s="1" t="n"/>
      <c r="E110" s="1" t="n"/>
      <c r="F110" s="1" t="n"/>
      <c r="G110" s="1" t="n"/>
      <c r="H110" s="1" t="n"/>
      <c r="I110" s="1" t="n"/>
      <c r="J110" s="1" t="n"/>
      <c r="K110" s="1" t="n"/>
      <c r="L110" s="1" t="n"/>
      <c r="M110" s="1" t="n"/>
    </row>
    <row r="111">
      <c r="D111" s="1" t="n"/>
      <c r="E111" s="1" t="n"/>
      <c r="F111" s="1" t="n"/>
      <c r="G111" s="1" t="n"/>
      <c r="H111" s="1" t="n"/>
      <c r="I111" s="1" t="n"/>
      <c r="J111" s="1" t="n"/>
      <c r="K111" s="1" t="n"/>
      <c r="L111" s="1" t="n"/>
      <c r="M111" s="1" t="n"/>
    </row>
    <row r="112">
      <c r="D112" s="1" t="n"/>
      <c r="E112" s="1" t="n"/>
      <c r="F112" s="1" t="n"/>
      <c r="G112" s="1" t="n"/>
      <c r="H112" s="1" t="n"/>
      <c r="I112" s="1" t="n"/>
      <c r="J112" s="1" t="n"/>
      <c r="K112" s="1" t="n"/>
      <c r="L112" s="1" t="n"/>
      <c r="M112" s="1" t="n"/>
    </row>
    <row r="113">
      <c r="D113" s="1" t="n"/>
      <c r="E113" s="1" t="n"/>
      <c r="F113" s="1" t="n"/>
      <c r="G113" s="1" t="n"/>
      <c r="H113" s="1" t="n"/>
      <c r="I113" s="1" t="n"/>
      <c r="J113" s="1" t="n"/>
      <c r="K113" s="1" t="n"/>
      <c r="L113" s="1" t="n"/>
      <c r="M113" s="1" t="n"/>
    </row>
    <row r="114">
      <c r="D114" s="1" t="n"/>
      <c r="E114" s="1" t="n"/>
      <c r="F114" s="1" t="n"/>
      <c r="G114" s="1" t="n"/>
      <c r="H114" s="1" t="n"/>
      <c r="I114" s="1" t="n"/>
      <c r="J114" s="1" t="n"/>
      <c r="K114" s="1" t="n"/>
      <c r="L114" s="1" t="n"/>
      <c r="M114" s="1" t="n"/>
    </row>
    <row r="115">
      <c r="D115" s="1" t="n"/>
      <c r="E115" s="1" t="n"/>
      <c r="F115" s="1" t="n"/>
      <c r="G115" s="1" t="n"/>
      <c r="H115" s="1" t="n"/>
      <c r="I115" s="1" t="n"/>
      <c r="J115" s="1" t="n"/>
      <c r="K115" s="1" t="n"/>
      <c r="L115" s="1" t="n"/>
      <c r="M115" s="1" t="n"/>
    </row>
    <row r="116">
      <c r="D116" s="1" t="n"/>
      <c r="E116" s="1" t="n"/>
      <c r="F116" s="1" t="n"/>
      <c r="G116" s="1" t="n"/>
      <c r="H116" s="1" t="n"/>
      <c r="I116" s="1" t="n"/>
      <c r="J116" s="1" t="n"/>
      <c r="K116" s="1" t="n"/>
      <c r="L116" s="1" t="n"/>
      <c r="M116" s="1" t="n"/>
    </row>
    <row r="117">
      <c r="D117" s="1" t="n"/>
      <c r="E117" s="1" t="n"/>
      <c r="F117" s="1" t="n"/>
      <c r="G117" s="1" t="n"/>
      <c r="H117" s="1" t="n"/>
      <c r="I117" s="1" t="n"/>
      <c r="J117" s="1" t="n"/>
      <c r="K117" s="1" t="n"/>
      <c r="L117" s="1" t="n"/>
      <c r="M117" s="1" t="n"/>
    </row>
    <row r="118">
      <c r="D118" s="1" t="n"/>
      <c r="E118" s="1" t="n"/>
      <c r="F118" s="1" t="n"/>
      <c r="G118" s="1" t="n"/>
      <c r="H118" s="1" t="n"/>
      <c r="I118" s="1" t="n"/>
      <c r="J118" s="1" t="n"/>
      <c r="K118" s="1" t="n"/>
      <c r="L118" s="1" t="n"/>
      <c r="M118" s="1" t="n"/>
    </row>
    <row r="119">
      <c r="D119" s="1" t="n"/>
      <c r="E119" s="1" t="n"/>
      <c r="F119" s="1" t="n"/>
      <c r="G119" s="1" t="n"/>
      <c r="H119" s="1" t="n"/>
      <c r="I119" s="1" t="n"/>
      <c r="J119" s="1" t="n"/>
      <c r="K119" s="1" t="n"/>
      <c r="L119" s="1" t="n"/>
      <c r="M119" s="1" t="n"/>
    </row>
    <row r="120">
      <c r="D120" s="1" t="n"/>
      <c r="E120" s="1" t="n"/>
      <c r="F120" s="1" t="n"/>
      <c r="G120" s="1" t="n"/>
      <c r="H120" s="1" t="n"/>
      <c r="I120" s="1" t="n"/>
      <c r="J120" s="1" t="n"/>
      <c r="K120" s="1" t="n"/>
      <c r="L120" s="1" t="n"/>
      <c r="M120" s="1" t="n"/>
    </row>
    <row r="121">
      <c r="D121" s="1" t="n"/>
      <c r="E121" s="1" t="n"/>
      <c r="F121" s="1" t="n"/>
      <c r="G121" s="1" t="n"/>
      <c r="H121" s="1" t="n"/>
      <c r="I121" s="1" t="n"/>
      <c r="J121" s="1" t="n"/>
      <c r="K121" s="1" t="n"/>
      <c r="L121" s="1" t="n"/>
      <c r="M121" s="1" t="n"/>
    </row>
    <row r="122">
      <c r="D122" s="1" t="n"/>
      <c r="E122" s="1" t="n"/>
      <c r="F122" s="1" t="n"/>
      <c r="G122" s="1" t="n"/>
      <c r="H122" s="1" t="n"/>
      <c r="I122" s="1" t="n"/>
      <c r="J122" s="1" t="n"/>
      <c r="K122" s="1" t="n"/>
      <c r="L122" s="1" t="n"/>
      <c r="M122" s="1" t="n"/>
    </row>
    <row r="123">
      <c r="D123" s="1" t="n"/>
      <c r="E123" s="1" t="n"/>
      <c r="F123" s="1" t="n"/>
      <c r="G123" s="1" t="n"/>
      <c r="H123" s="1" t="n"/>
      <c r="I123" s="1" t="n"/>
      <c r="J123" s="1" t="n"/>
      <c r="K123" s="1" t="n"/>
      <c r="L123" s="1" t="n"/>
      <c r="M123" s="1" t="n"/>
    </row>
    <row r="124">
      <c r="D124" s="1" t="n"/>
      <c r="E124" s="1" t="n"/>
      <c r="F124" s="1" t="n"/>
      <c r="G124" s="1" t="n"/>
      <c r="H124" s="1" t="n"/>
      <c r="I124" s="1" t="n"/>
      <c r="J124" s="1" t="n"/>
      <c r="K124" s="1" t="n"/>
      <c r="L124" s="1" t="n"/>
      <c r="M124" s="1" t="n"/>
    </row>
    <row r="125">
      <c r="D125" s="1" t="n"/>
      <c r="E125" s="1" t="n"/>
      <c r="F125" s="1" t="n"/>
      <c r="G125" s="1" t="n"/>
      <c r="H125" s="1" t="n"/>
      <c r="I125" s="1" t="n"/>
      <c r="J125" s="1" t="n"/>
      <c r="K125" s="1" t="n"/>
      <c r="L125" s="1" t="n"/>
      <c r="M125" s="1" t="n"/>
    </row>
    <row r="126">
      <c r="D126" s="1" t="n"/>
      <c r="E126" s="1" t="n"/>
      <c r="F126" s="1" t="n"/>
      <c r="G126" s="1" t="n"/>
      <c r="H126" s="1" t="n"/>
      <c r="I126" s="1" t="n"/>
      <c r="J126" s="1" t="n"/>
      <c r="K126" s="1" t="n"/>
      <c r="L126" s="1" t="n"/>
      <c r="M126" s="1" t="n"/>
    </row>
    <row r="127">
      <c r="D127" s="1" t="n"/>
      <c r="E127" s="1" t="n"/>
      <c r="F127" s="1" t="n"/>
      <c r="G127" s="1" t="n"/>
      <c r="H127" s="1" t="n"/>
      <c r="I127" s="1" t="n"/>
      <c r="J127" s="1" t="n"/>
      <c r="K127" s="1" t="n"/>
      <c r="L127" s="1" t="n"/>
      <c r="M127" s="1" t="n"/>
    </row>
    <row r="128">
      <c r="D128" s="1" t="n"/>
      <c r="E128" s="1" t="n"/>
      <c r="F128" s="1" t="n"/>
      <c r="G128" s="1" t="n"/>
      <c r="H128" s="1" t="n"/>
      <c r="I128" s="1" t="n"/>
      <c r="J128" s="1" t="n"/>
      <c r="K128" s="1" t="n"/>
      <c r="L128" s="1" t="n"/>
      <c r="M128" s="1" t="n"/>
    </row>
    <row r="129">
      <c r="D129" s="1" t="n"/>
      <c r="E129" s="1" t="n"/>
      <c r="F129" s="1" t="n"/>
      <c r="G129" s="1" t="n"/>
      <c r="H129" s="1" t="n"/>
      <c r="I129" s="1" t="n"/>
      <c r="J129" s="1" t="n"/>
      <c r="K129" s="1" t="n"/>
      <c r="L129" s="1" t="n"/>
      <c r="M129" s="1" t="n"/>
    </row>
    <row r="130">
      <c r="D130" s="1" t="n"/>
      <c r="E130" s="1" t="n"/>
      <c r="F130" s="1" t="n"/>
      <c r="G130" s="1" t="n"/>
      <c r="H130" s="1" t="n"/>
      <c r="I130" s="1" t="n"/>
      <c r="J130" s="1" t="n"/>
      <c r="K130" s="1" t="n"/>
      <c r="L130" s="1" t="n"/>
      <c r="M130" s="1" t="n"/>
    </row>
    <row r="131">
      <c r="D131" s="1" t="n"/>
      <c r="E131" s="1" t="n"/>
      <c r="F131" s="1" t="n"/>
      <c r="G131" s="1" t="n"/>
      <c r="H131" s="1" t="n"/>
      <c r="I131" s="1" t="n"/>
      <c r="J131" s="1" t="n"/>
      <c r="K131" s="1" t="n"/>
      <c r="L131" s="1" t="n"/>
      <c r="M131" s="1" t="n"/>
    </row>
    <row r="132">
      <c r="D132" s="1" t="n"/>
      <c r="E132" s="1" t="n"/>
      <c r="F132" s="1" t="n"/>
      <c r="G132" s="1" t="n"/>
      <c r="H132" s="1" t="n"/>
      <c r="I132" s="1" t="n"/>
      <c r="J132" s="1" t="n"/>
      <c r="K132" s="1" t="n"/>
      <c r="L132" s="1" t="n"/>
      <c r="M132" s="1" t="n"/>
    </row>
    <row r="133">
      <c r="D133" s="1" t="n"/>
      <c r="E133" s="1" t="n"/>
      <c r="F133" s="1" t="n"/>
      <c r="G133" s="1" t="n"/>
      <c r="H133" s="1" t="n"/>
      <c r="I133" s="1" t="n"/>
      <c r="J133" s="1" t="n"/>
      <c r="K133" s="1" t="n"/>
      <c r="L133" s="1" t="n"/>
      <c r="M133" s="1" t="n"/>
    </row>
    <row r="134">
      <c r="D134" s="1" t="n"/>
      <c r="E134" s="1" t="n"/>
      <c r="F134" s="1" t="n"/>
      <c r="G134" s="1" t="n"/>
      <c r="H134" s="1" t="n"/>
      <c r="I134" s="1" t="n"/>
      <c r="J134" s="1" t="n"/>
      <c r="K134" s="1" t="n"/>
      <c r="L134" s="1" t="n"/>
      <c r="M134" s="1" t="n"/>
    </row>
    <row r="135">
      <c r="D135" s="1" t="n"/>
      <c r="E135" s="1" t="n"/>
      <c r="F135" s="1" t="n"/>
      <c r="G135" s="1" t="n"/>
      <c r="H135" s="1" t="n"/>
      <c r="I135" s="1" t="n"/>
      <c r="J135" s="1" t="n"/>
      <c r="K135" s="1" t="n"/>
      <c r="L135" s="1" t="n"/>
      <c r="M135" s="1" t="n"/>
    </row>
    <row r="136">
      <c r="D136" s="1" t="n"/>
      <c r="E136" s="1" t="n"/>
      <c r="F136" s="1" t="n"/>
      <c r="G136" s="1" t="n"/>
      <c r="H136" s="1" t="n"/>
      <c r="I136" s="1" t="n"/>
      <c r="J136" s="1" t="n"/>
      <c r="K136" s="1" t="n"/>
      <c r="L136" s="1" t="n"/>
      <c r="M136" s="1" t="n"/>
    </row>
    <row r="137">
      <c r="D137" s="1" t="n"/>
      <c r="E137" s="1" t="n"/>
      <c r="F137" s="1" t="n"/>
      <c r="G137" s="1" t="n"/>
      <c r="H137" s="1" t="n"/>
      <c r="I137" s="1" t="n"/>
      <c r="J137" s="1" t="n"/>
      <c r="K137" s="1" t="n"/>
      <c r="L137" s="1" t="n"/>
      <c r="M137" s="1" t="n"/>
    </row>
    <row r="138">
      <c r="D138" s="1" t="n"/>
      <c r="E138" s="1" t="n"/>
      <c r="F138" s="1" t="n"/>
      <c r="G138" s="1" t="n"/>
      <c r="H138" s="1" t="n"/>
      <c r="I138" s="1" t="n"/>
      <c r="J138" s="1" t="n"/>
      <c r="K138" s="1" t="n"/>
      <c r="L138" s="1" t="n"/>
      <c r="M138" s="1" t="n"/>
    </row>
    <row r="139">
      <c r="D139" s="1" t="n"/>
      <c r="E139" s="1" t="n"/>
      <c r="F139" s="1" t="n"/>
      <c r="G139" s="1" t="n"/>
      <c r="H139" s="1" t="n"/>
      <c r="I139" s="1" t="n"/>
      <c r="J139" s="1" t="n"/>
      <c r="K139" s="1" t="n"/>
      <c r="L139" s="1" t="n"/>
      <c r="M139" s="1" t="n"/>
    </row>
    <row r="140">
      <c r="D140" s="1" t="n"/>
      <c r="E140" s="1" t="n"/>
      <c r="F140" s="1" t="n"/>
      <c r="G140" s="1" t="n"/>
      <c r="H140" s="1" t="n"/>
      <c r="I140" s="1" t="n"/>
      <c r="J140" s="1" t="n"/>
      <c r="K140" s="1" t="n"/>
      <c r="L140" s="1" t="n"/>
      <c r="M140" s="1" t="n"/>
    </row>
    <row r="141">
      <c r="D141" s="1" t="n"/>
      <c r="E141" s="1" t="n"/>
      <c r="F141" s="1" t="n"/>
      <c r="G141" s="1" t="n"/>
      <c r="H141" s="1" t="n"/>
      <c r="I141" s="1" t="n"/>
      <c r="J141" s="1" t="n"/>
      <c r="K141" s="1" t="n"/>
      <c r="L141" s="1" t="n"/>
      <c r="M141" s="1" t="n"/>
    </row>
    <row r="142">
      <c r="D142" s="1" t="n"/>
      <c r="E142" s="1" t="n"/>
      <c r="F142" s="1" t="n"/>
      <c r="G142" s="1" t="n"/>
      <c r="H142" s="1" t="n"/>
      <c r="I142" s="1" t="n"/>
      <c r="J142" s="1" t="n"/>
      <c r="K142" s="1" t="n"/>
      <c r="L142" s="1" t="n"/>
      <c r="M142" s="1" t="n"/>
    </row>
    <row r="143">
      <c r="D143" s="1" t="n"/>
      <c r="E143" s="1" t="n"/>
      <c r="F143" s="1" t="n"/>
      <c r="G143" s="1" t="n"/>
      <c r="H143" s="1" t="n"/>
      <c r="I143" s="1" t="n"/>
      <c r="J143" s="1" t="n"/>
      <c r="K143" s="1" t="n"/>
      <c r="L143" s="1" t="n"/>
      <c r="M143" s="1" t="n"/>
    </row>
    <row r="144">
      <c r="D144" s="1" t="n"/>
      <c r="E144" s="1" t="n"/>
      <c r="F144" s="1" t="n"/>
      <c r="G144" s="1" t="n"/>
      <c r="H144" s="1" t="n"/>
      <c r="I144" s="1" t="n"/>
      <c r="J144" s="1" t="n"/>
      <c r="K144" s="1" t="n"/>
      <c r="L144" s="1" t="n"/>
      <c r="M144" s="1" t="n"/>
    </row>
    <row r="145">
      <c r="D145" s="1" t="n"/>
      <c r="E145" s="1" t="n"/>
      <c r="F145" s="1" t="n"/>
      <c r="G145" s="1" t="n"/>
      <c r="H145" s="1" t="n"/>
      <c r="I145" s="1" t="n"/>
      <c r="J145" s="1" t="n"/>
      <c r="K145" s="1" t="n"/>
      <c r="L145" s="1" t="n"/>
      <c r="M145" s="1" t="n"/>
    </row>
    <row r="146">
      <c r="D146" s="1" t="n"/>
      <c r="E146" s="1" t="n"/>
      <c r="F146" s="1" t="n"/>
      <c r="G146" s="1" t="n"/>
      <c r="H146" s="1" t="n"/>
      <c r="I146" s="1" t="n"/>
      <c r="J146" s="1" t="n"/>
      <c r="K146" s="1" t="n"/>
      <c r="L146" s="1" t="n"/>
      <c r="M146" s="1" t="n"/>
    </row>
    <row r="147">
      <c r="D147" s="1" t="n"/>
      <c r="E147" s="1" t="n"/>
      <c r="F147" s="1" t="n"/>
      <c r="G147" s="1" t="n"/>
      <c r="H147" s="1" t="n"/>
      <c r="I147" s="1" t="n"/>
      <c r="J147" s="1" t="n"/>
      <c r="K147" s="1" t="n"/>
      <c r="L147" s="1" t="n"/>
      <c r="M147" s="1" t="n"/>
    </row>
    <row r="148">
      <c r="D148" s="1" t="n"/>
      <c r="E148" s="1" t="n"/>
      <c r="F148" s="1" t="n"/>
      <c r="G148" s="1" t="n"/>
      <c r="H148" s="1" t="n"/>
      <c r="I148" s="1" t="n"/>
      <c r="J148" s="1" t="n"/>
      <c r="K148" s="1" t="n"/>
      <c r="L148" s="1" t="n"/>
      <c r="M148" s="1" t="n"/>
    </row>
    <row r="149">
      <c r="D149" s="1" t="n"/>
      <c r="E149" s="1" t="n"/>
      <c r="F149" s="1" t="n"/>
      <c r="G149" s="1" t="n"/>
      <c r="H149" s="1" t="n"/>
      <c r="I149" s="1" t="n"/>
      <c r="J149" s="1" t="n"/>
      <c r="K149" s="1" t="n"/>
      <c r="L149" s="1" t="n"/>
      <c r="M149" s="1" t="n"/>
    </row>
    <row r="150">
      <c r="D150" s="1" t="n"/>
      <c r="E150" s="1" t="n"/>
      <c r="F150" s="1" t="n"/>
      <c r="G150" s="1" t="n"/>
      <c r="H150" s="1" t="n"/>
      <c r="I150" s="1" t="n"/>
      <c r="J150" s="1" t="n"/>
      <c r="K150" s="1" t="n"/>
      <c r="L150" s="1" t="n"/>
      <c r="M150" s="1" t="n"/>
    </row>
    <row r="151">
      <c r="D151" s="1" t="n"/>
      <c r="E151" s="1" t="n"/>
      <c r="F151" s="1" t="n"/>
      <c r="G151" s="1" t="n"/>
      <c r="H151" s="1" t="n"/>
      <c r="I151" s="1" t="n"/>
      <c r="J151" s="1" t="n"/>
      <c r="K151" s="1" t="n"/>
      <c r="L151" s="1" t="n"/>
      <c r="M151" s="1" t="n"/>
    </row>
    <row r="152">
      <c r="D152" s="1" t="n"/>
      <c r="E152" s="1" t="n"/>
      <c r="F152" s="1" t="n"/>
      <c r="G152" s="1" t="n"/>
      <c r="H152" s="1" t="n"/>
      <c r="I152" s="1" t="n"/>
      <c r="J152" s="1" t="n"/>
      <c r="K152" s="1" t="n"/>
      <c r="L152" s="1" t="n"/>
      <c r="M152" s="1" t="n"/>
    </row>
    <row r="153">
      <c r="D153" s="1" t="n"/>
      <c r="E153" s="1" t="n"/>
      <c r="F153" s="1" t="n"/>
      <c r="G153" s="1" t="n"/>
      <c r="H153" s="1" t="n"/>
      <c r="I153" s="1" t="n"/>
      <c r="J153" s="1" t="n"/>
      <c r="K153" s="1" t="n"/>
      <c r="L153" s="1" t="n"/>
      <c r="M153" s="1" t="n"/>
    </row>
    <row r="154">
      <c r="D154" s="1" t="n"/>
      <c r="E154" s="1" t="n"/>
      <c r="F154" s="1" t="n"/>
      <c r="G154" s="1" t="n"/>
      <c r="H154" s="1" t="n"/>
      <c r="I154" s="1" t="n"/>
      <c r="J154" s="1" t="n"/>
      <c r="K154" s="1" t="n"/>
      <c r="L154" s="1" t="n"/>
      <c r="M154" s="1" t="n"/>
    </row>
    <row r="155">
      <c r="D155" s="1" t="n"/>
      <c r="E155" s="1" t="n"/>
      <c r="F155" s="1" t="n"/>
      <c r="G155" s="1" t="n"/>
      <c r="H155" s="1" t="n"/>
      <c r="I155" s="1" t="n"/>
      <c r="J155" s="1" t="n"/>
      <c r="K155" s="1" t="n"/>
      <c r="L155" s="1" t="n"/>
      <c r="M155" s="1" t="n"/>
    </row>
    <row r="156">
      <c r="D156" s="1" t="n"/>
      <c r="E156" s="1" t="n"/>
      <c r="F156" s="1" t="n"/>
      <c r="G156" s="1" t="n"/>
      <c r="H156" s="1" t="n"/>
      <c r="I156" s="1" t="n"/>
      <c r="J156" s="1" t="n"/>
      <c r="K156" s="1" t="n"/>
      <c r="L156" s="1" t="n"/>
      <c r="M156" s="1" t="n"/>
    </row>
    <row r="157">
      <c r="D157" s="1" t="n"/>
      <c r="E157" s="1" t="n"/>
      <c r="F157" s="1" t="n"/>
      <c r="G157" s="1" t="n"/>
      <c r="H157" s="1" t="n"/>
      <c r="I157" s="1" t="n"/>
      <c r="J157" s="1" t="n"/>
      <c r="K157" s="1" t="n"/>
      <c r="L157" s="1" t="n"/>
      <c r="M157" s="1" t="n"/>
    </row>
    <row r="158">
      <c r="D158" s="1" t="n"/>
      <c r="E158" s="1" t="n"/>
      <c r="F158" s="1" t="n"/>
      <c r="G158" s="1" t="n"/>
      <c r="H158" s="1" t="n"/>
      <c r="I158" s="1" t="n"/>
      <c r="J158" s="1" t="n"/>
      <c r="K158" s="1" t="n"/>
      <c r="L158" s="1" t="n"/>
      <c r="M158" s="1" t="n"/>
    </row>
    <row r="159">
      <c r="D159" s="1" t="n"/>
      <c r="E159" s="1" t="n"/>
      <c r="F159" s="1" t="n"/>
      <c r="G159" s="1" t="n"/>
      <c r="H159" s="1" t="n"/>
      <c r="I159" s="1" t="n"/>
      <c r="J159" s="1" t="n"/>
      <c r="K159" s="1" t="n"/>
      <c r="L159" s="1" t="n"/>
      <c r="M159" s="1" t="n"/>
    </row>
    <row r="160">
      <c r="D160" s="1" t="n"/>
      <c r="E160" s="1" t="n"/>
      <c r="F160" s="1" t="n"/>
      <c r="G160" s="1" t="n"/>
      <c r="H160" s="1" t="n"/>
      <c r="I160" s="1" t="n"/>
      <c r="J160" s="1" t="n"/>
      <c r="K160" s="1" t="n"/>
      <c r="L160" s="1" t="n"/>
      <c r="M160" s="1" t="n"/>
    </row>
    <row r="161">
      <c r="D161" s="1" t="n"/>
      <c r="E161" s="1" t="n"/>
      <c r="F161" s="1" t="n"/>
      <c r="G161" s="1" t="n"/>
      <c r="H161" s="1" t="n"/>
      <c r="I161" s="1" t="n"/>
      <c r="J161" s="1" t="n"/>
      <c r="K161" s="1" t="n"/>
      <c r="L161" s="1" t="n"/>
      <c r="M161" s="1" t="n"/>
    </row>
    <row r="162">
      <c r="D162" s="1" t="n"/>
      <c r="E162" s="1" t="n"/>
      <c r="F162" s="1" t="n"/>
      <c r="G162" s="1" t="n"/>
      <c r="H162" s="1" t="n"/>
      <c r="I162" s="1" t="n"/>
      <c r="J162" s="1" t="n"/>
      <c r="K162" s="1" t="n"/>
      <c r="L162" s="1" t="n"/>
      <c r="M162" s="1" t="n"/>
    </row>
    <row r="163">
      <c r="D163" s="1" t="n"/>
      <c r="E163" s="1" t="n"/>
      <c r="F163" s="1" t="n"/>
      <c r="G163" s="1" t="n"/>
      <c r="H163" s="1" t="n"/>
      <c r="I163" s="1" t="n"/>
      <c r="J163" s="1" t="n"/>
      <c r="K163" s="1" t="n"/>
      <c r="L163" s="1" t="n"/>
      <c r="M163" s="1" t="n"/>
    </row>
    <row r="164">
      <c r="D164" s="1" t="n"/>
      <c r="E164" s="1" t="n"/>
      <c r="F164" s="1" t="n"/>
      <c r="G164" s="1" t="n"/>
      <c r="H164" s="1" t="n"/>
      <c r="I164" s="1" t="n"/>
      <c r="J164" s="1" t="n"/>
      <c r="K164" s="1" t="n"/>
      <c r="L164" s="1" t="n"/>
      <c r="M164" s="1" t="n"/>
    </row>
    <row r="165">
      <c r="D165" s="1" t="n"/>
      <c r="E165" s="1" t="n"/>
      <c r="F165" s="1" t="n"/>
      <c r="G165" s="1" t="n"/>
      <c r="H165" s="1" t="n"/>
      <c r="I165" s="1" t="n"/>
      <c r="J165" s="1" t="n"/>
      <c r="K165" s="1" t="n"/>
      <c r="L165" s="1" t="n"/>
      <c r="M165" s="1" t="n"/>
    </row>
    <row r="166">
      <c r="D166" s="1" t="n"/>
      <c r="E166" s="1" t="n"/>
      <c r="F166" s="1" t="n"/>
      <c r="G166" s="1" t="n"/>
      <c r="H166" s="1" t="n"/>
      <c r="I166" s="1" t="n"/>
      <c r="J166" s="1" t="n"/>
      <c r="K166" s="1" t="n"/>
      <c r="L166" s="1" t="n"/>
      <c r="M166" s="1" t="n"/>
    </row>
    <row r="167">
      <c r="D167" s="1" t="n"/>
      <c r="E167" s="1" t="n"/>
      <c r="F167" s="1" t="n"/>
      <c r="G167" s="1" t="n"/>
      <c r="H167" s="1" t="n"/>
      <c r="I167" s="1" t="n"/>
      <c r="J167" s="1" t="n"/>
      <c r="K167" s="1" t="n"/>
      <c r="L167" s="1" t="n"/>
      <c r="M167" s="1" t="n"/>
    </row>
    <row r="168">
      <c r="D168" s="1" t="n"/>
      <c r="E168" s="1" t="n"/>
      <c r="F168" s="1" t="n"/>
      <c r="G168" s="1" t="n"/>
      <c r="H168" s="1" t="n"/>
      <c r="I168" s="1" t="n"/>
      <c r="J168" s="1" t="n"/>
      <c r="K168" s="1" t="n"/>
      <c r="L168" s="1" t="n"/>
      <c r="M168" s="1" t="n"/>
    </row>
    <row r="169">
      <c r="D169" s="1" t="n"/>
      <c r="E169" s="1" t="n"/>
      <c r="F169" s="1" t="n"/>
      <c r="G169" s="1" t="n"/>
      <c r="H169" s="1" t="n"/>
      <c r="I169" s="1" t="n"/>
      <c r="J169" s="1" t="n"/>
      <c r="K169" s="1" t="n"/>
      <c r="L169" s="1" t="n"/>
      <c r="M169" s="1" t="n"/>
    </row>
    <row r="170">
      <c r="D170" s="1" t="n"/>
      <c r="E170" s="1" t="n"/>
      <c r="F170" s="1" t="n"/>
      <c r="G170" s="1" t="n"/>
      <c r="H170" s="1" t="n"/>
      <c r="I170" s="1" t="n"/>
      <c r="J170" s="1" t="n"/>
      <c r="K170" s="1" t="n"/>
      <c r="L170" s="1" t="n"/>
      <c r="M170" s="1" t="n"/>
    </row>
    <row r="171">
      <c r="D171" s="1" t="n"/>
      <c r="E171" s="1" t="n"/>
      <c r="F171" s="1" t="n"/>
      <c r="G171" s="1" t="n"/>
      <c r="H171" s="1" t="n"/>
      <c r="I171" s="1" t="n"/>
      <c r="J171" s="1" t="n"/>
      <c r="K171" s="1" t="n"/>
      <c r="L171" s="1" t="n"/>
      <c r="M171" s="1" t="n"/>
    </row>
    <row r="172">
      <c r="D172" s="1" t="n"/>
      <c r="E172" s="1" t="n"/>
      <c r="F172" s="1" t="n"/>
      <c r="G172" s="1" t="n"/>
      <c r="H172" s="1" t="n"/>
      <c r="I172" s="1" t="n"/>
      <c r="J172" s="1" t="n"/>
      <c r="K172" s="1" t="n"/>
      <c r="L172" s="1" t="n"/>
      <c r="M172" s="1" t="n"/>
    </row>
    <row r="173">
      <c r="D173" s="1" t="n"/>
      <c r="E173" s="1" t="n"/>
      <c r="F173" s="1" t="n"/>
      <c r="G173" s="1" t="n"/>
      <c r="H173" s="1" t="n"/>
      <c r="I173" s="1" t="n"/>
      <c r="J173" s="1" t="n"/>
      <c r="K173" s="1" t="n"/>
      <c r="L173" s="1" t="n"/>
      <c r="M173" s="1" t="n"/>
    </row>
    <row r="174">
      <c r="D174" s="1" t="n"/>
      <c r="E174" s="1" t="n"/>
      <c r="F174" s="1" t="n"/>
      <c r="G174" s="1" t="n"/>
      <c r="H174" s="1" t="n"/>
      <c r="I174" s="1" t="n"/>
      <c r="J174" s="1" t="n"/>
      <c r="K174" s="1" t="n"/>
      <c r="L174" s="1" t="n"/>
      <c r="M174" s="1" t="n"/>
    </row>
    <row r="175">
      <c r="D175" s="1" t="n"/>
      <c r="E175" s="1" t="n"/>
      <c r="F175" s="1" t="n"/>
      <c r="G175" s="1" t="n"/>
      <c r="H175" s="1" t="n"/>
      <c r="I175" s="1" t="n"/>
      <c r="J175" s="1" t="n"/>
      <c r="K175" s="1" t="n"/>
      <c r="L175" s="1" t="n"/>
      <c r="M175" s="1" t="n"/>
    </row>
    <row r="176">
      <c r="D176" s="1" t="n"/>
      <c r="E176" s="1" t="n"/>
      <c r="F176" s="1" t="n"/>
      <c r="G176" s="1" t="n"/>
      <c r="H176" s="1" t="n"/>
      <c r="I176" s="1" t="n"/>
      <c r="J176" s="1" t="n"/>
      <c r="K176" s="1" t="n"/>
      <c r="L176" s="1" t="n"/>
      <c r="M176" s="1" t="n"/>
    </row>
    <row r="177">
      <c r="D177" s="1" t="n"/>
      <c r="E177" s="1" t="n"/>
      <c r="F177" s="1" t="n"/>
      <c r="G177" s="1" t="n"/>
      <c r="H177" s="1" t="n"/>
      <c r="I177" s="1" t="n"/>
      <c r="J177" s="1" t="n"/>
      <c r="K177" s="1" t="n"/>
      <c r="L177" s="1" t="n"/>
      <c r="M177" s="1" t="n"/>
    </row>
    <row r="178">
      <c r="D178" s="1" t="n"/>
      <c r="E178" s="1" t="n"/>
      <c r="F178" s="1" t="n"/>
      <c r="G178" s="1" t="n"/>
      <c r="H178" s="1" t="n"/>
      <c r="I178" s="1" t="n"/>
      <c r="J178" s="1" t="n"/>
      <c r="K178" s="1" t="n"/>
      <c r="L178" s="1" t="n"/>
      <c r="M178" s="1" t="n"/>
    </row>
    <row r="179">
      <c r="D179" s="1" t="n"/>
      <c r="E179" s="1" t="n"/>
      <c r="F179" s="1" t="n"/>
      <c r="G179" s="1" t="n"/>
      <c r="H179" s="1" t="n"/>
      <c r="I179" s="1" t="n"/>
      <c r="J179" s="1" t="n"/>
      <c r="K179" s="1" t="n"/>
      <c r="L179" s="1" t="n"/>
      <c r="M179" s="1" t="n"/>
    </row>
    <row r="180">
      <c r="D180" s="1" t="n"/>
      <c r="E180" s="1" t="n"/>
      <c r="F180" s="1" t="n"/>
      <c r="G180" s="1" t="n"/>
      <c r="H180" s="1" t="n"/>
      <c r="I180" s="1" t="n"/>
      <c r="J180" s="1" t="n"/>
      <c r="K180" s="1" t="n"/>
      <c r="L180" s="1" t="n"/>
      <c r="M180" s="1" t="n"/>
    </row>
    <row r="181">
      <c r="D181" s="1" t="n"/>
      <c r="E181" s="1" t="n"/>
      <c r="F181" s="1" t="n"/>
      <c r="G181" s="1" t="n"/>
      <c r="H181" s="1" t="n"/>
      <c r="I181" s="1" t="n"/>
      <c r="J181" s="1" t="n"/>
      <c r="K181" s="1" t="n"/>
      <c r="L181" s="1" t="n"/>
      <c r="M181" s="1" t="n"/>
    </row>
    <row r="182">
      <c r="D182" s="1" t="n"/>
      <c r="E182" s="1" t="n"/>
      <c r="F182" s="1" t="n"/>
      <c r="G182" s="1" t="n"/>
      <c r="H182" s="1" t="n"/>
      <c r="I182" s="1" t="n"/>
      <c r="J182" s="1" t="n"/>
      <c r="K182" s="1" t="n"/>
      <c r="L182" s="1" t="n"/>
      <c r="M182" s="1" t="n"/>
    </row>
    <row r="183">
      <c r="D183" s="1" t="n"/>
      <c r="E183" s="1" t="n"/>
      <c r="F183" s="1" t="n"/>
      <c r="G183" s="1" t="n"/>
      <c r="H183" s="1" t="n"/>
      <c r="I183" s="1" t="n"/>
      <c r="J183" s="1" t="n"/>
      <c r="K183" s="1" t="n"/>
      <c r="L183" s="1" t="n"/>
      <c r="M183" s="1" t="n"/>
    </row>
    <row r="184">
      <c r="D184" s="1" t="n"/>
      <c r="E184" s="1" t="n"/>
      <c r="F184" s="1" t="n"/>
      <c r="G184" s="1" t="n"/>
      <c r="H184" s="1" t="n"/>
      <c r="I184" s="1" t="n"/>
      <c r="J184" s="1" t="n"/>
      <c r="K184" s="1" t="n"/>
      <c r="L184" s="1" t="n"/>
      <c r="M184" s="1" t="n"/>
    </row>
    <row r="185">
      <c r="D185" s="1" t="n"/>
      <c r="E185" s="1" t="n"/>
      <c r="F185" s="1" t="n"/>
      <c r="G185" s="1" t="n"/>
      <c r="H185" s="1" t="n"/>
      <c r="I185" s="1" t="n"/>
      <c r="J185" s="1" t="n"/>
      <c r="K185" s="1" t="n"/>
      <c r="L185" s="1" t="n"/>
      <c r="M185" s="1" t="n"/>
    </row>
    <row r="186">
      <c r="D186" s="1" t="n"/>
      <c r="E186" s="1" t="n"/>
      <c r="F186" s="1" t="n"/>
      <c r="G186" s="1" t="n"/>
      <c r="H186" s="1" t="n"/>
      <c r="I186" s="1" t="n"/>
      <c r="J186" s="1" t="n"/>
      <c r="K186" s="1" t="n"/>
      <c r="L186" s="1" t="n"/>
      <c r="M186" s="1" t="n"/>
    </row>
    <row r="187">
      <c r="D187" s="1" t="n"/>
      <c r="E187" s="1" t="n"/>
      <c r="F187" s="1" t="n"/>
      <c r="G187" s="1" t="n"/>
      <c r="H187" s="1" t="n"/>
      <c r="I187" s="1" t="n"/>
      <c r="J187" s="1" t="n"/>
      <c r="K187" s="1" t="n"/>
      <c r="L187" s="1" t="n"/>
      <c r="M187" s="1" t="n"/>
    </row>
    <row r="188">
      <c r="D188" s="1" t="n"/>
      <c r="E188" s="1" t="n"/>
      <c r="F188" s="1" t="n"/>
      <c r="G188" s="1" t="n"/>
      <c r="H188" s="1" t="n"/>
      <c r="I188" s="1" t="n"/>
      <c r="J188" s="1" t="n"/>
      <c r="K188" s="1" t="n"/>
      <c r="L188" s="1" t="n"/>
      <c r="M188" s="1" t="n"/>
    </row>
    <row r="189">
      <c r="D189" s="1" t="n"/>
      <c r="E189" s="1" t="n"/>
      <c r="F189" s="1" t="n"/>
      <c r="G189" s="1" t="n"/>
      <c r="H189" s="1" t="n"/>
      <c r="I189" s="1" t="n"/>
      <c r="J189" s="1" t="n"/>
      <c r="K189" s="1" t="n"/>
      <c r="L189" s="1" t="n"/>
      <c r="M189" s="1" t="n"/>
    </row>
    <row r="190">
      <c r="D190" s="1" t="n"/>
      <c r="E190" s="1" t="n"/>
      <c r="F190" s="1" t="n"/>
      <c r="G190" s="1" t="n"/>
      <c r="H190" s="1" t="n"/>
      <c r="I190" s="1" t="n"/>
      <c r="J190" s="1" t="n"/>
      <c r="K190" s="1" t="n"/>
      <c r="L190" s="1" t="n"/>
      <c r="M190" s="1" t="n"/>
    </row>
    <row r="191">
      <c r="D191" s="1" t="n"/>
      <c r="E191" s="1" t="n"/>
      <c r="F191" s="1" t="n"/>
      <c r="G191" s="1" t="n"/>
      <c r="H191" s="1" t="n"/>
      <c r="I191" s="1" t="n"/>
      <c r="J191" s="1" t="n"/>
      <c r="K191" s="1" t="n"/>
      <c r="L191" s="1" t="n"/>
      <c r="M191" s="1" t="n"/>
    </row>
    <row r="192">
      <c r="D192" s="1" t="n"/>
      <c r="E192" s="1" t="n"/>
      <c r="F192" s="1" t="n"/>
      <c r="G192" s="1" t="n"/>
      <c r="H192" s="1" t="n"/>
      <c r="I192" s="1" t="n"/>
      <c r="J192" s="1" t="n"/>
      <c r="K192" s="1" t="n"/>
      <c r="L192" s="1" t="n"/>
      <c r="M192" s="1" t="n"/>
    </row>
    <row r="193">
      <c r="D193" s="1" t="n"/>
      <c r="E193" s="1" t="n"/>
      <c r="F193" s="1" t="n"/>
      <c r="G193" s="1" t="n"/>
      <c r="H193" s="1" t="n"/>
      <c r="I193" s="1" t="n"/>
      <c r="J193" s="1" t="n"/>
      <c r="K193" s="1" t="n"/>
      <c r="L193" s="1" t="n"/>
      <c r="M193" s="1" t="n"/>
    </row>
    <row r="194">
      <c r="D194" s="1" t="n"/>
      <c r="E194" s="1" t="n"/>
      <c r="F194" s="1" t="n"/>
      <c r="G194" s="1" t="n"/>
      <c r="H194" s="1" t="n"/>
      <c r="I194" s="1" t="n"/>
      <c r="J194" s="1" t="n"/>
      <c r="K194" s="1" t="n"/>
      <c r="L194" s="1" t="n"/>
      <c r="M194" s="1" t="n"/>
    </row>
    <row r="195">
      <c r="D195" s="1" t="n"/>
      <c r="E195" s="1" t="n"/>
      <c r="F195" s="1" t="n"/>
      <c r="G195" s="1" t="n"/>
      <c r="H195" s="1" t="n"/>
      <c r="I195" s="1" t="n"/>
      <c r="J195" s="1" t="n"/>
      <c r="K195" s="1" t="n"/>
      <c r="L195" s="1" t="n"/>
      <c r="M195" s="1" t="n"/>
    </row>
    <row r="196">
      <c r="D196" s="1" t="n"/>
      <c r="E196" s="1" t="n"/>
      <c r="F196" s="1" t="n"/>
      <c r="G196" s="1" t="n"/>
      <c r="H196" s="1" t="n"/>
      <c r="I196" s="1" t="n"/>
      <c r="J196" s="1" t="n"/>
      <c r="K196" s="1" t="n"/>
      <c r="L196" s="1" t="n"/>
      <c r="M196" s="1" t="n"/>
    </row>
    <row r="197">
      <c r="D197" s="1" t="n"/>
      <c r="E197" s="1" t="n"/>
      <c r="F197" s="1" t="n"/>
      <c r="G197" s="1" t="n"/>
      <c r="H197" s="1" t="n"/>
      <c r="I197" s="1" t="n"/>
      <c r="J197" s="1" t="n"/>
      <c r="K197" s="1" t="n"/>
      <c r="L197" s="1" t="n"/>
      <c r="M197" s="1" t="n"/>
    </row>
    <row r="198">
      <c r="D198" s="1" t="n"/>
      <c r="E198" s="1" t="n"/>
      <c r="F198" s="1" t="n"/>
      <c r="G198" s="1" t="n"/>
      <c r="H198" s="1" t="n"/>
      <c r="I198" s="1" t="n"/>
      <c r="J198" s="1" t="n"/>
      <c r="K198" s="1" t="n"/>
      <c r="L198" s="1" t="n"/>
      <c r="M198" s="1" t="n"/>
    </row>
    <row r="199">
      <c r="D199" s="1" t="n"/>
      <c r="E199" s="1" t="n"/>
      <c r="F199" s="1" t="n"/>
      <c r="G199" s="1" t="n"/>
      <c r="H199" s="1" t="n"/>
      <c r="I199" s="1" t="n"/>
      <c r="J199" s="1" t="n"/>
      <c r="K199" s="1" t="n"/>
      <c r="L199" s="1" t="n"/>
      <c r="M199" s="1" t="n"/>
    </row>
    <row r="200">
      <c r="D200" s="1" t="n"/>
      <c r="E200" s="1" t="n"/>
      <c r="F200" s="1" t="n"/>
      <c r="G200" s="1" t="n"/>
      <c r="H200" s="1" t="n"/>
      <c r="I200" s="1" t="n"/>
      <c r="J200" s="1" t="n"/>
      <c r="K200" s="1" t="n"/>
      <c r="L200" s="1" t="n"/>
      <c r="M200" s="1" t="n"/>
    </row>
    <row r="201">
      <c r="D201" s="1" t="n"/>
      <c r="E201" s="1" t="n"/>
      <c r="F201" s="1" t="n"/>
      <c r="G201" s="1" t="n"/>
      <c r="H201" s="1" t="n"/>
      <c r="I201" s="1" t="n"/>
      <c r="J201" s="1" t="n"/>
      <c r="K201" s="1" t="n"/>
      <c r="L201" s="1" t="n"/>
      <c r="M201" s="1" t="n"/>
    </row>
    <row r="202">
      <c r="D202" s="1" t="n"/>
      <c r="E202" s="1" t="n"/>
      <c r="F202" s="1" t="n"/>
      <c r="G202" s="1" t="n"/>
      <c r="H202" s="1" t="n"/>
      <c r="I202" s="1" t="n"/>
      <c r="J202" s="1" t="n"/>
      <c r="K202" s="1" t="n"/>
      <c r="L202" s="1" t="n"/>
      <c r="M202" s="1" t="n"/>
    </row>
    <row r="203">
      <c r="D203" s="1" t="n"/>
      <c r="E203" s="1" t="n"/>
      <c r="F203" s="1" t="n"/>
      <c r="G203" s="1" t="n"/>
      <c r="H203" s="1" t="n"/>
      <c r="I203" s="1" t="n"/>
      <c r="J203" s="1" t="n"/>
      <c r="K203" s="1" t="n"/>
      <c r="L203" s="1" t="n"/>
      <c r="M203" s="1" t="n"/>
    </row>
    <row r="204">
      <c r="D204" s="1" t="n"/>
      <c r="E204" s="1" t="n"/>
      <c r="F204" s="1" t="n"/>
      <c r="G204" s="1" t="n"/>
      <c r="H204" s="1" t="n"/>
      <c r="I204" s="1" t="n"/>
      <c r="J204" s="1" t="n"/>
      <c r="K204" s="1" t="n"/>
      <c r="L204" s="1" t="n"/>
      <c r="M204" s="1" t="n"/>
    </row>
    <row r="205">
      <c r="D205" s="1" t="n"/>
      <c r="E205" s="1" t="n"/>
      <c r="F205" s="1" t="n"/>
      <c r="G205" s="1" t="n"/>
      <c r="H205" s="1" t="n"/>
      <c r="I205" s="1" t="n"/>
      <c r="J205" s="1" t="n"/>
      <c r="K205" s="1" t="n"/>
      <c r="L205" s="1" t="n"/>
      <c r="M205" s="1" t="n"/>
    </row>
    <row r="206">
      <c r="D206" s="1" t="n"/>
      <c r="E206" s="1" t="n"/>
      <c r="F206" s="1" t="n"/>
      <c r="G206" s="1" t="n"/>
      <c r="H206" s="1" t="n"/>
      <c r="I206" s="1" t="n"/>
      <c r="J206" s="1" t="n"/>
      <c r="K206" s="1" t="n"/>
      <c r="L206" s="1" t="n"/>
      <c r="M206" s="1" t="n"/>
    </row>
    <row r="207">
      <c r="D207" s="1" t="n"/>
      <c r="E207" s="1" t="n"/>
      <c r="F207" s="1" t="n"/>
      <c r="G207" s="1" t="n"/>
      <c r="H207" s="1" t="n"/>
      <c r="I207" s="1" t="n"/>
      <c r="J207" s="1" t="n"/>
      <c r="K207" s="1" t="n"/>
      <c r="L207" s="1" t="n"/>
      <c r="M207" s="1" t="n"/>
    </row>
    <row r="208">
      <c r="D208" s="1" t="n"/>
      <c r="E208" s="1" t="n"/>
      <c r="F208" s="1" t="n"/>
      <c r="G208" s="1" t="n"/>
      <c r="H208" s="1" t="n"/>
      <c r="I208" s="1" t="n"/>
      <c r="J208" s="1" t="n"/>
      <c r="K208" s="1" t="n"/>
      <c r="L208" s="1" t="n"/>
      <c r="M208" s="1" t="n"/>
    </row>
    <row r="209">
      <c r="D209" s="1" t="n"/>
      <c r="E209" s="1" t="n"/>
      <c r="F209" s="1" t="n"/>
      <c r="G209" s="1" t="n"/>
      <c r="H209" s="1" t="n"/>
      <c r="I209" s="1" t="n"/>
      <c r="J209" s="1" t="n"/>
      <c r="K209" s="1" t="n"/>
      <c r="L209" s="1" t="n"/>
      <c r="M209" s="1" t="n"/>
    </row>
    <row r="210">
      <c r="D210" s="1" t="n"/>
      <c r="E210" s="1" t="n"/>
      <c r="F210" s="1" t="n"/>
      <c r="G210" s="1" t="n"/>
      <c r="H210" s="1" t="n"/>
      <c r="I210" s="1" t="n"/>
      <c r="J210" s="1" t="n"/>
      <c r="K210" s="1" t="n"/>
      <c r="L210" s="1" t="n"/>
      <c r="M210" s="1" t="n"/>
    </row>
    <row r="211">
      <c r="D211" s="1" t="n"/>
      <c r="E211" s="1" t="n"/>
      <c r="F211" s="1" t="n"/>
      <c r="G211" s="1" t="n"/>
      <c r="H211" s="1" t="n"/>
      <c r="I211" s="1" t="n"/>
      <c r="J211" s="1" t="n"/>
      <c r="K211" s="1" t="n"/>
      <c r="L211" s="1" t="n"/>
      <c r="M211" s="1" t="n"/>
    </row>
    <row r="212">
      <c r="D212" s="1" t="n"/>
      <c r="E212" s="1" t="n"/>
      <c r="F212" s="1" t="n"/>
      <c r="G212" s="1" t="n"/>
      <c r="H212" s="1" t="n"/>
      <c r="I212" s="1" t="n"/>
      <c r="J212" s="1" t="n"/>
      <c r="K212" s="1" t="n"/>
      <c r="L212" s="1" t="n"/>
      <c r="M212" s="1" t="n"/>
    </row>
    <row r="213">
      <c r="D213" s="1" t="n"/>
      <c r="E213" s="1" t="n"/>
      <c r="F213" s="1" t="n"/>
      <c r="G213" s="1" t="n"/>
      <c r="H213" s="1" t="n"/>
      <c r="I213" s="1" t="n"/>
      <c r="J213" s="1" t="n"/>
      <c r="K213" s="1" t="n"/>
      <c r="L213" s="1" t="n"/>
      <c r="M213" s="1" t="n"/>
    </row>
    <row r="214">
      <c r="D214" s="1" t="n"/>
      <c r="E214" s="1" t="n"/>
      <c r="F214" s="1" t="n"/>
      <c r="G214" s="1" t="n"/>
      <c r="H214" s="1" t="n"/>
      <c r="I214" s="1" t="n"/>
      <c r="J214" s="1" t="n"/>
      <c r="K214" s="1" t="n"/>
      <c r="L214" s="1" t="n"/>
      <c r="M214" s="1" t="n"/>
    </row>
    <row r="215">
      <c r="D215" s="1" t="n"/>
      <c r="E215" s="1" t="n"/>
      <c r="F215" s="1" t="n"/>
      <c r="G215" s="1" t="n"/>
      <c r="H215" s="1" t="n"/>
      <c r="I215" s="1" t="n"/>
      <c r="J215" s="1" t="n"/>
      <c r="K215" s="1" t="n"/>
      <c r="L215" s="1" t="n"/>
      <c r="M215" s="1" t="n"/>
    </row>
  </sheetData>
  <autoFilter ref="A1:AA93"/>
  <conditionalFormatting sqref="D87:M89">
    <cfRule type="cellIs" priority="26" operator="between" dxfId="2">
      <formula>0.3</formula>
      <formula>0.89</formula>
    </cfRule>
    <cfRule type="cellIs" priority="27" operator="between" dxfId="10">
      <formula>0.7</formula>
      <formula>0.89</formula>
    </cfRule>
    <cfRule type="cellIs" priority="28" operator="between" dxfId="1">
      <formula>0.7</formula>
      <formula>0.8</formula>
    </cfRule>
  </conditionalFormatting>
  <conditionalFormatting sqref="D87:M95">
    <cfRule type="cellIs" priority="1" operator="lessThan" dxfId="3">
      <formula>0.29</formula>
    </cfRule>
    <cfRule type="cellIs" priority="4" operator="greaterThanOrEqual" dxfId="0">
      <formula>0.9</formula>
    </cfRule>
  </conditionalFormatting>
  <conditionalFormatting sqref="D90:M95">
    <cfRule type="cellIs" priority="2" operator="between" dxfId="2">
      <formula>0.3</formula>
      <formula>0.8999</formula>
    </cfRule>
    <cfRule type="cellIs" priority="3" operator="between" dxfId="1" stopIfTrue="1">
      <formula>0.7</formula>
      <formula>0.8</formula>
    </cfRule>
  </conditionalFormatting>
  <conditionalFormatting sqref="G2:M86">
    <cfRule type="cellIs" priority="40" operator="lessThan" dxfId="3">
      <formula>0.29</formula>
    </cfRule>
    <cfRule type="cellIs" priority="41" operator="between" dxfId="2">
      <formula>0.3</formula>
      <formula>0.89</formula>
    </cfRule>
    <cfRule type="cellIs" priority="42" operator="between" dxfId="10">
      <formula>0.7</formula>
      <formula>0.89</formula>
    </cfRule>
    <cfRule type="cellIs" priority="43" operator="between" dxfId="1">
      <formula>0.7</formula>
      <formula>0.8</formula>
    </cfRule>
    <cfRule type="cellIs" priority="44" operator="greaterThanOrEqual" dxfId="0">
      <formula>0.9</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6"/>
  <sheetViews>
    <sheetView showGridLines="0" workbookViewId="0">
      <selection activeCell="D2" sqref="D2"/>
    </sheetView>
  </sheetViews>
  <sheetFormatPr baseColWidth="8" defaultRowHeight="14.5"/>
  <cols>
    <col width="3.81640625" customWidth="1" style="350" min="1" max="1"/>
    <col width="4.81640625" bestFit="1" customWidth="1" style="64" min="2" max="2"/>
    <col width="18.1796875" bestFit="1" customWidth="1" style="64" min="3" max="3"/>
    <col width="16.453125" customWidth="1" style="69" min="4" max="4"/>
    <col width="8.7265625" customWidth="1" style="64" min="5" max="6"/>
  </cols>
  <sheetData>
    <row r="1">
      <c r="B1" s="62" t="inlineStr">
        <is>
          <t>FY</t>
        </is>
      </c>
      <c r="C1" s="62" t="inlineStr">
        <is>
          <t>Utilization category</t>
        </is>
      </c>
      <c r="D1" s="63" t="inlineStr">
        <is>
          <t>No of resources</t>
        </is>
      </c>
      <c r="E1" s="62" t="inlineStr">
        <is>
          <t>Pecentage</t>
        </is>
      </c>
    </row>
    <row r="2">
      <c r="B2" s="337" t="inlineStr">
        <is>
          <t>FY26</t>
        </is>
      </c>
      <c r="C2" s="65" t="inlineStr">
        <is>
          <t>100% Chargeability</t>
        </is>
      </c>
      <c r="D2" s="66" t="n">
        <v>15</v>
      </c>
      <c r="E2" s="67">
        <f>D2/D6</f>
        <v/>
      </c>
    </row>
    <row r="3">
      <c r="C3" s="64" t="inlineStr">
        <is>
          <t>&gt;90% Chargeability</t>
        </is>
      </c>
      <c r="D3" s="66" t="n">
        <v>17</v>
      </c>
      <c r="E3" s="67">
        <f>D3/D6</f>
        <v/>
      </c>
    </row>
    <row r="4">
      <c r="C4" s="64" t="inlineStr">
        <is>
          <t>70-90% Chargeability</t>
        </is>
      </c>
      <c r="D4" s="66" t="n">
        <v>14</v>
      </c>
      <c r="E4" s="67">
        <f>D4/D6</f>
        <v/>
      </c>
    </row>
    <row r="5">
      <c r="C5" s="64" t="inlineStr">
        <is>
          <t>&lt; 70% Chergeability</t>
        </is>
      </c>
      <c r="D5" s="66" t="n">
        <v>18</v>
      </c>
      <c r="E5" s="67">
        <f>D5/D6</f>
        <v/>
      </c>
    </row>
    <row r="6">
      <c r="D6" s="63">
        <f>SUM(D2:D5)</f>
        <v/>
      </c>
      <c r="E6" s="68" t="n"/>
    </row>
  </sheetData>
  <mergeCells count="1">
    <mergeCell ref="B2:B5"/>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6"/>
  <sheetViews>
    <sheetView showGridLines="0" workbookViewId="0">
      <selection activeCell="C7" sqref="C7"/>
    </sheetView>
  </sheetViews>
  <sheetFormatPr baseColWidth="8" defaultRowHeight="14.5"/>
  <cols>
    <col width="72.453125" customWidth="1" style="350" min="2" max="2"/>
  </cols>
  <sheetData>
    <row r="1" ht="18.5" customHeight="1" s="350">
      <c r="A1" s="93" t="inlineStr">
        <is>
          <t>S/No</t>
        </is>
      </c>
      <c r="B1" s="93" t="inlineStr">
        <is>
          <t>Agenda</t>
        </is>
      </c>
    </row>
    <row r="2" ht="18.5" customHeight="1" s="350">
      <c r="A2" s="94" t="n">
        <v>1</v>
      </c>
      <c r="B2" s="95" t="inlineStr">
        <is>
          <t>FY26 YTD utilization</t>
        </is>
      </c>
    </row>
    <row r="3" ht="18.5" customHeight="1" s="350">
      <c r="A3" s="94" t="n">
        <v>2</v>
      </c>
      <c r="B3" s="95" t="inlineStr">
        <is>
          <t>FY27 3 weeks Utilization</t>
        </is>
      </c>
    </row>
    <row r="4" ht="18.5" customHeight="1" s="350">
      <c r="A4" s="94" t="n">
        <v>3</v>
      </c>
      <c r="B4" s="95" t="inlineStr">
        <is>
          <t>next 6 Months utilization forecast</t>
        </is>
      </c>
    </row>
    <row r="5" ht="18.5" customHeight="1" s="350">
      <c r="A5" s="94" t="n">
        <v>4</v>
      </c>
      <c r="B5" s="95" t="inlineStr">
        <is>
          <t>Resource management challenges &amp; proposed solution</t>
        </is>
      </c>
    </row>
    <row r="6">
      <c r="C6" s="30">
        <f>34/64</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67"/>
  <sheetViews>
    <sheetView showGridLines="0" workbookViewId="0">
      <selection activeCell="E7" sqref="E7"/>
    </sheetView>
  </sheetViews>
  <sheetFormatPr baseColWidth="8" defaultColWidth="22" defaultRowHeight="14.5"/>
  <cols>
    <col width="22" customWidth="1" style="31" min="2" max="3"/>
    <col width="23.453125" bestFit="1" customWidth="1" style="71" min="4" max="4"/>
    <col width="54.81640625" customWidth="1" style="23" min="5" max="5"/>
    <col width="7.453125" customWidth="1" style="350" min="6" max="6"/>
  </cols>
  <sheetData>
    <row r="1" customFormat="1" s="31">
      <c r="A1" s="53" t="inlineStr">
        <is>
          <t>ResourceName</t>
        </is>
      </c>
      <c r="B1" s="53" t="inlineStr">
        <is>
          <t xml:space="preserve">Current Grade Order &amp; Description </t>
        </is>
      </c>
      <c r="C1" s="53" t="inlineStr">
        <is>
          <t>Counselor Name</t>
        </is>
      </c>
      <c r="D1" s="73" t="inlineStr">
        <is>
          <t>YTD Effective Utilisation</t>
        </is>
      </c>
      <c r="E1" s="70" t="inlineStr">
        <is>
          <t>Justification</t>
        </is>
      </c>
      <c r="F1" s="53" t="inlineStr">
        <is>
          <t>Column1</t>
        </is>
      </c>
    </row>
    <row r="2">
      <c r="A2" t="inlineStr">
        <is>
          <t>Masked Person 23</t>
        </is>
      </c>
      <c r="B2" s="31" t="inlineStr">
        <is>
          <t>Intern (CS) 1</t>
        </is>
      </c>
      <c r="C2" s="31" t="inlineStr">
        <is>
          <t>-</t>
        </is>
      </c>
      <c r="D2" s="71" t="n">
        <v>0</v>
      </c>
      <c r="E2" s="54" t="inlineStr">
        <is>
          <t>Helped with BD</t>
        </is>
      </c>
      <c r="G2" s="55" t="inlineStr">
        <is>
          <t>Legend</t>
        </is>
      </c>
    </row>
    <row r="3">
      <c r="A3" t="inlineStr">
        <is>
          <t>Masked Person 44</t>
        </is>
      </c>
      <c r="B3" s="31" t="inlineStr">
        <is>
          <t>Intern (CS) 1</t>
        </is>
      </c>
      <c r="C3" s="31" t="inlineStr">
        <is>
          <t>-</t>
        </is>
      </c>
      <c r="D3" s="71" t="n">
        <v>0</v>
      </c>
      <c r="E3" s="56" t="inlineStr">
        <is>
          <t>Says was 100% charged</t>
        </is>
      </c>
      <c r="G3" s="57" t="inlineStr">
        <is>
          <t>Supported on BD</t>
        </is>
      </c>
    </row>
    <row r="4">
      <c r="A4" t="inlineStr">
        <is>
          <t>Masked Person 90</t>
        </is>
      </c>
      <c r="B4" s="31" t="inlineStr">
        <is>
          <t>Intern (CS) 1</t>
        </is>
      </c>
      <c r="C4" s="31" t="inlineStr">
        <is>
          <t>-</t>
        </is>
      </c>
      <c r="D4" s="71" t="n">
        <v>0</v>
      </c>
      <c r="E4" s="23" t="inlineStr">
        <is>
          <t>My internship started from May 2026</t>
        </is>
      </c>
      <c r="G4" s="58" t="inlineStr">
        <is>
          <t>On bench</t>
        </is>
      </c>
    </row>
    <row r="5" ht="43.5" customHeight="1" s="350">
      <c r="A5" t="inlineStr">
        <is>
          <t>Masked Person 32</t>
        </is>
      </c>
      <c r="B5" s="31" t="inlineStr">
        <is>
          <t>Staff/Assistant 1</t>
        </is>
      </c>
      <c r="C5" s="31" t="inlineStr">
        <is>
          <t>Masked Person 11</t>
        </is>
      </c>
      <c r="D5" s="71" t="n">
        <v>0.188311688311688</v>
      </c>
      <c r="E5" s="54" t="inlineStr">
        <is>
          <t>Helping with BD
Helping Platform C1 with no charge code for 3+ months</t>
        </is>
      </c>
      <c r="G5" s="59" t="inlineStr">
        <is>
          <t>Discrepancy in charging / EM asked to charge to Admin code</t>
        </is>
      </c>
    </row>
    <row r="6">
      <c r="A6" t="inlineStr">
        <is>
          <t>Masked Person 66</t>
        </is>
      </c>
      <c r="B6" s="31" t="inlineStr">
        <is>
          <t>Intern (CS) 1</t>
        </is>
      </c>
      <c r="C6" s="31" t="inlineStr">
        <is>
          <t>Masked Person 37</t>
        </is>
      </c>
      <c r="D6" s="71" t="n">
        <v>0.253164556962025</v>
      </c>
      <c r="E6" s="56" t="inlineStr">
        <is>
          <t>Says was 100% charged</t>
        </is>
      </c>
    </row>
    <row r="7">
      <c r="A7" t="inlineStr">
        <is>
          <t>Masked Person 62</t>
        </is>
      </c>
      <c r="B7" s="31" t="inlineStr">
        <is>
          <t>Intern (CS) 1</t>
        </is>
      </c>
      <c r="C7" s="31" t="inlineStr">
        <is>
          <t>Masked Person 61</t>
        </is>
      </c>
      <c r="D7" s="71" t="n">
        <v>0.407407407407407</v>
      </c>
      <c r="E7" s="56" t="inlineStr">
        <is>
          <t>Says was 100% charged</t>
        </is>
      </c>
    </row>
    <row r="8">
      <c r="A8" t="inlineStr">
        <is>
          <t>Masked Person 70</t>
        </is>
      </c>
      <c r="B8" s="31" t="inlineStr">
        <is>
          <t>Staff/Assistant 2</t>
        </is>
      </c>
      <c r="C8" s="31" t="inlineStr">
        <is>
          <t>Masked Person 16</t>
        </is>
      </c>
      <c r="D8" s="71" t="n">
        <v>0.412087912087912</v>
      </c>
    </row>
    <row r="9">
      <c r="A9" t="inlineStr">
        <is>
          <t>Masked Person 92</t>
        </is>
      </c>
      <c r="B9" s="31" t="inlineStr">
        <is>
          <t>Staff/Assistant 1</t>
        </is>
      </c>
      <c r="C9" s="31" t="inlineStr">
        <is>
          <t>-</t>
        </is>
      </c>
      <c r="D9" s="71" t="n">
        <v>0.466307277628032</v>
      </c>
      <c r="E9" s="54" t="inlineStr">
        <is>
          <t>pending clearance and was helping with BD</t>
        </is>
      </c>
    </row>
    <row r="10" ht="29" customHeight="1" s="350">
      <c r="A10" t="inlineStr">
        <is>
          <t>Masked Person 68</t>
        </is>
      </c>
      <c r="B10" s="31" t="inlineStr">
        <is>
          <t>Manager 2</t>
        </is>
      </c>
      <c r="C10" s="31" t="inlineStr">
        <is>
          <t>Masked Person 42</t>
        </is>
      </c>
      <c r="D10" s="71" t="n">
        <v>0.513306451612903</v>
      </c>
      <c r="E10" s="54" t="inlineStr">
        <is>
          <t>I just joined the Firm in Nov 2025. At the first few weeks, I was supporting BD</t>
        </is>
      </c>
    </row>
    <row r="11">
      <c r="A11" t="inlineStr">
        <is>
          <t>Masked Person 38</t>
        </is>
      </c>
      <c r="B11" s="31" t="inlineStr">
        <is>
          <t>Staff/Assistant 2</t>
        </is>
      </c>
      <c r="C11" s="31" t="inlineStr">
        <is>
          <t>Masked Person 29</t>
        </is>
      </c>
      <c r="D11" s="71" t="n">
        <v>0.516014234875445</v>
      </c>
      <c r="E11" s="54" t="inlineStr">
        <is>
          <t>Helping with BD</t>
        </is>
      </c>
    </row>
    <row r="12">
      <c r="A12" t="inlineStr">
        <is>
          <t>Masked Person 12</t>
        </is>
      </c>
      <c r="B12" s="31" t="inlineStr">
        <is>
          <t>Senior 2</t>
        </is>
      </c>
      <c r="C12" s="31" t="inlineStr">
        <is>
          <t>Masked Person 29</t>
        </is>
      </c>
      <c r="D12" s="71" t="n">
        <v>0.556332236842105</v>
      </c>
      <c r="E12" s="54" t="inlineStr">
        <is>
          <t>pending clearance for the next project and helping with BD</t>
        </is>
      </c>
    </row>
    <row r="13">
      <c r="A13" t="inlineStr">
        <is>
          <t>Masked Person 6</t>
        </is>
      </c>
      <c r="B13" s="31" t="inlineStr">
        <is>
          <t>Senior 3</t>
        </is>
      </c>
      <c r="C13" s="31" t="inlineStr">
        <is>
          <t>-</t>
        </is>
      </c>
      <c r="D13" s="71" t="n">
        <v>0.613636363636364</v>
      </c>
      <c r="E13" s="60" t="inlineStr">
        <is>
          <t>Pending new project to start and was supporting BD.</t>
        </is>
      </c>
    </row>
    <row r="14">
      <c r="A14" t="inlineStr">
        <is>
          <t>Masked Person 39</t>
        </is>
      </c>
      <c r="B14" s="31" t="inlineStr">
        <is>
          <t>Senior 1</t>
        </is>
      </c>
      <c r="C14" s="31" t="inlineStr">
        <is>
          <t>Masked Person 42</t>
        </is>
      </c>
      <c r="D14" s="71" t="n">
        <v>0.622693726937269</v>
      </c>
      <c r="E14" s="23" t="inlineStr">
        <is>
          <t>joined the Firm in Nov 2025</t>
        </is>
      </c>
    </row>
    <row r="15">
      <c r="A15" t="inlineStr">
        <is>
          <t>Masked Person 5</t>
        </is>
      </c>
      <c r="B15" s="31" t="inlineStr">
        <is>
          <t>Senior 1</t>
        </is>
      </c>
      <c r="C15" s="31" t="inlineStr">
        <is>
          <t>Masked Person 69</t>
        </is>
      </c>
      <c r="D15" s="71" t="n">
        <v>0.648648648648649</v>
      </c>
      <c r="E15" s="61" t="inlineStr">
        <is>
          <t>Pending transition</t>
        </is>
      </c>
    </row>
    <row r="16">
      <c r="A16" t="inlineStr">
        <is>
          <t>Masked Person 50</t>
        </is>
      </c>
      <c r="B16" s="31" t="inlineStr">
        <is>
          <t>Senior 3</t>
        </is>
      </c>
      <c r="C16" s="31" t="inlineStr">
        <is>
          <t>Masked Person 11</t>
        </is>
      </c>
      <c r="D16" s="71" t="n">
        <v>0.661095890410959</v>
      </c>
      <c r="E16" s="61" t="inlineStr">
        <is>
          <t>Was on bench for rest of the percentage</t>
        </is>
      </c>
    </row>
    <row r="17" ht="29" customHeight="1" s="350">
      <c r="A17" t="inlineStr">
        <is>
          <t>Masked Person 18</t>
        </is>
      </c>
      <c r="B17" s="31" t="inlineStr">
        <is>
          <t>Staff/Assistant 2</t>
        </is>
      </c>
      <c r="C17" s="31" t="inlineStr">
        <is>
          <t>Masked Person 42</t>
        </is>
      </c>
      <c r="D17" s="71" t="n">
        <v>0.667100694444444</v>
      </c>
      <c r="E17" s="54" t="inlineStr">
        <is>
          <t>Project ended and charged only 50% for another, helped with BD still</t>
        </is>
      </c>
    </row>
    <row r="18">
      <c r="A18" t="inlineStr">
        <is>
          <t>Masked Person 67</t>
        </is>
      </c>
      <c r="B18" s="31" t="inlineStr">
        <is>
          <t>Intern (CS) 1</t>
        </is>
      </c>
      <c r="C18" s="31" t="inlineStr">
        <is>
          <t>Masked Person 1</t>
        </is>
      </c>
      <c r="D18" s="71" t="n">
        <v>0.688888888888889</v>
      </c>
    </row>
    <row r="19" ht="29" customHeight="1" s="350">
      <c r="A19" t="inlineStr">
        <is>
          <t>Masked Person 55</t>
        </is>
      </c>
      <c r="B19" s="31" t="inlineStr">
        <is>
          <t>Manager 3</t>
        </is>
      </c>
      <c r="C19" s="31" t="inlineStr">
        <is>
          <t>Masked Person 24</t>
        </is>
      </c>
      <c r="D19" s="71" t="n">
        <v>0.692307692307692</v>
      </c>
      <c r="E19" s="56" t="inlineStr">
        <is>
          <t>working on the Client C project full-time, but I charged my time based on my manager's (masked.person13@example.com) advice</t>
        </is>
      </c>
    </row>
    <row r="20">
      <c r="A20" t="inlineStr">
        <is>
          <t>Masked Person 83</t>
        </is>
      </c>
      <c r="B20" s="31" t="inlineStr">
        <is>
          <t>Manager 2</t>
        </is>
      </c>
      <c r="C20" s="31" t="inlineStr">
        <is>
          <t>Masked Person 29</t>
        </is>
      </c>
      <c r="D20" s="71" t="n">
        <v>0.7086614173228341</v>
      </c>
    </row>
    <row r="21">
      <c r="A21" t="inlineStr">
        <is>
          <t>Masked Person 27</t>
        </is>
      </c>
      <c r="B21" s="31" t="inlineStr">
        <is>
          <t>Manager 3</t>
        </is>
      </c>
      <c r="C21" s="31" t="inlineStr">
        <is>
          <t>Masked Person 24</t>
        </is>
      </c>
      <c r="D21" s="71" t="n">
        <v>0.751121076233184</v>
      </c>
      <c r="E21" s="54" t="inlineStr">
        <is>
          <t>Project C2 BD</t>
        </is>
      </c>
    </row>
    <row r="22">
      <c r="A22" t="inlineStr">
        <is>
          <t>Masked Person 25</t>
        </is>
      </c>
      <c r="B22" s="31" t="inlineStr">
        <is>
          <t>Manager 1</t>
        </is>
      </c>
      <c r="C22" s="31" t="inlineStr">
        <is>
          <t>Masked Person 29</t>
        </is>
      </c>
      <c r="D22" s="71" t="n">
        <v>0.779904306220096</v>
      </c>
      <c r="E22" s="23" t="inlineStr">
        <is>
          <t>Just joined in jan 2026 and pending clearance.</t>
        </is>
      </c>
    </row>
    <row r="23">
      <c r="A23" t="inlineStr">
        <is>
          <t>Masked Person 78</t>
        </is>
      </c>
      <c r="B23" s="31" t="inlineStr">
        <is>
          <t>Staff/Assistant 1</t>
        </is>
      </c>
      <c r="C23" s="31" t="inlineStr">
        <is>
          <t>Masked Person 37</t>
        </is>
      </c>
      <c r="D23" s="71" t="n">
        <v>0.793139293139293</v>
      </c>
      <c r="E23" s="54" t="inlineStr">
        <is>
          <t>Was on bench and helped with BD before starting project</t>
        </is>
      </c>
    </row>
    <row r="24">
      <c r="A24" t="inlineStr">
        <is>
          <t>Masked Person 85</t>
        </is>
      </c>
      <c r="B24" s="31" t="inlineStr">
        <is>
          <t>Intern (CS) 1</t>
        </is>
      </c>
      <c r="C24" s="31" t="inlineStr">
        <is>
          <t>Masked Person 11</t>
        </is>
      </c>
      <c r="D24" s="71" t="n">
        <v>0.8031496062992129</v>
      </c>
      <c r="E24" s="90" t="inlineStr">
        <is>
          <t>Supporting Client A and BD</t>
        </is>
      </c>
    </row>
    <row r="25">
      <c r="A25" t="inlineStr">
        <is>
          <t>Masked Person 4</t>
        </is>
      </c>
      <c r="B25" s="31" t="inlineStr">
        <is>
          <t>Senior 1</t>
        </is>
      </c>
      <c r="D25" s="71" t="n">
        <v>0.80391061452514</v>
      </c>
    </row>
    <row r="26" ht="29" customHeight="1" s="350">
      <c r="A26" t="inlineStr">
        <is>
          <t>Masked Person 26</t>
        </is>
      </c>
      <c r="B26" s="31" t="inlineStr">
        <is>
          <t>Senior 3</t>
        </is>
      </c>
      <c r="C26" s="31" t="inlineStr">
        <is>
          <t>Masked Person 27</t>
        </is>
      </c>
      <c r="D26" s="71" t="n">
        <v>0.821861233480176</v>
      </c>
      <c r="E26" s="61" t="inlineStr">
        <is>
          <t>'Some periods I only have 50% booking while waiting for next project</t>
        </is>
      </c>
    </row>
    <row r="27" ht="43.5" customHeight="1" s="350">
      <c r="A27" t="inlineStr">
        <is>
          <t>Masked Person 35</t>
        </is>
      </c>
      <c r="B27" s="31" t="inlineStr">
        <is>
          <t>Senior 2</t>
        </is>
      </c>
      <c r="C27" s="31" t="inlineStr">
        <is>
          <t>Masked Person 24</t>
        </is>
      </c>
      <c r="D27" s="71" t="n">
        <v>0.845188284518828</v>
      </c>
      <c r="E27" s="23" t="inlineStr">
        <is>
          <t>was on 3 projects - Client L, Client O, Client F. Likely a combination of MC, leave, project transition time, non chargeable time towards end of each project</t>
        </is>
      </c>
    </row>
    <row r="28" ht="29" customHeight="1" s="350">
      <c r="A28" t="inlineStr">
        <is>
          <t>Masked Person 9</t>
        </is>
      </c>
      <c r="B28" s="31" t="inlineStr">
        <is>
          <t>Staff/Assistant 2</t>
        </is>
      </c>
      <c r="C28" s="31" t="inlineStr">
        <is>
          <t>Masked Person 37</t>
        </is>
      </c>
      <c r="D28" s="71" t="n">
        <v>0.873536299765808</v>
      </c>
      <c r="E28" s="54" t="inlineStr">
        <is>
          <t>Joined in Aug 2025, BD for a few weeks while awaiting clearence for Client A.</t>
        </is>
      </c>
    </row>
    <row r="29" ht="29" customHeight="1" s="350">
      <c r="A29" t="inlineStr">
        <is>
          <t>Masked Person 60</t>
        </is>
      </c>
      <c r="B29" s="31" t="inlineStr">
        <is>
          <t>Manager 1</t>
        </is>
      </c>
      <c r="C29" s="31" t="inlineStr">
        <is>
          <t>Masked Person 42</t>
        </is>
      </c>
      <c r="D29" s="71" t="n">
        <v>0.879828326180258</v>
      </c>
      <c r="E29" s="56" t="inlineStr">
        <is>
          <t>7th - 10th July 2025 - Admin Charge Code (Pre onboarding to Client C) ; June 2026 - Still Client C but admin charge code was used</t>
        </is>
      </c>
    </row>
    <row r="30">
      <c r="A30" t="inlineStr">
        <is>
          <t>Masked Person 19</t>
        </is>
      </c>
      <c r="B30" s="31" t="inlineStr">
        <is>
          <t>Intern (CS) 1</t>
        </is>
      </c>
      <c r="C30" s="31" t="inlineStr">
        <is>
          <t>Masked Person 29</t>
        </is>
      </c>
      <c r="D30" s="71" t="n">
        <v>0.886363636363636</v>
      </c>
    </row>
    <row r="31">
      <c r="A31" t="inlineStr">
        <is>
          <t>Masked Person 63</t>
        </is>
      </c>
      <c r="B31" s="31" t="inlineStr">
        <is>
          <t>Staff/Assistant 2</t>
        </is>
      </c>
      <c r="C31" s="31" t="inlineStr">
        <is>
          <t>Masked Person 13</t>
        </is>
      </c>
      <c r="D31" s="71" t="n">
        <v>0.896713615023474</v>
      </c>
      <c r="E31" s="56" t="inlineStr">
        <is>
          <t>Joined 27 Jul 2026, 100% charged to Client B from day 1</t>
        </is>
      </c>
    </row>
    <row r="32">
      <c r="A32" t="inlineStr">
        <is>
          <t>Masked Person 34</t>
        </is>
      </c>
      <c r="B32" s="31" t="inlineStr">
        <is>
          <t>Staff/Assistant 1</t>
        </is>
      </c>
      <c r="C32" s="31" t="inlineStr">
        <is>
          <t>Masked Person 29</t>
        </is>
      </c>
      <c r="D32" s="71" t="n">
        <v>0.898318042813456</v>
      </c>
      <c r="E32" s="23" t="inlineStr">
        <is>
          <t>I joined the firm in Apr 26.</t>
        </is>
      </c>
    </row>
    <row r="33">
      <c r="A33" t="inlineStr">
        <is>
          <t>Masked Person 15</t>
        </is>
      </c>
      <c r="B33" s="31" t="inlineStr">
        <is>
          <t>Intern (CS) 1</t>
        </is>
      </c>
      <c r="C33" s="31" t="inlineStr">
        <is>
          <t>-</t>
        </is>
      </c>
      <c r="D33" s="71" t="n">
        <v>0.9</v>
      </c>
    </row>
    <row r="34" ht="29" customHeight="1" s="350">
      <c r="A34" t="inlineStr">
        <is>
          <t>Masked Person 30</t>
        </is>
      </c>
      <c r="B34" s="31" t="inlineStr">
        <is>
          <t>Senior 3</t>
        </is>
      </c>
      <c r="C34" s="31" t="inlineStr">
        <is>
          <t>-</t>
        </is>
      </c>
      <c r="D34" s="71" t="n">
        <v>0.903719912472648</v>
      </c>
      <c r="E34" s="56" t="inlineStr">
        <is>
          <t>Fully utilised for Client C but was tolde to charge internal code for a period of time by engagement manager</t>
        </is>
      </c>
    </row>
    <row r="35" ht="29" customHeight="1" s="350">
      <c r="A35" t="inlineStr">
        <is>
          <t>Masked Person 52</t>
        </is>
      </c>
      <c r="B35" s="31" t="inlineStr">
        <is>
          <t>Staff/Assistant 2</t>
        </is>
      </c>
      <c r="D35" s="71" t="n">
        <v>0.908695652173913</v>
      </c>
      <c r="E35" s="23" t="inlineStr">
        <is>
          <t xml:space="preserve">I joined the Firm on 29th June 2026, and security clearance was finished by 16 July 2026. </t>
        </is>
      </c>
    </row>
    <row r="36">
      <c r="A36" t="inlineStr">
        <is>
          <t>Masked Person 89</t>
        </is>
      </c>
      <c r="B36" s="31" t="inlineStr">
        <is>
          <t>Staff/Assistant 1</t>
        </is>
      </c>
      <c r="C36" s="31" t="inlineStr">
        <is>
          <t>Masked Person 1</t>
        </is>
      </c>
      <c r="D36" s="71" t="n">
        <v>0.9229166666666671</v>
      </c>
    </row>
    <row r="37">
      <c r="A37" t="inlineStr">
        <is>
          <t>Masked Person 45</t>
        </is>
      </c>
      <c r="B37" s="31" t="inlineStr">
        <is>
          <t>Intern (CS) 1</t>
        </is>
      </c>
      <c r="C37" s="31" t="inlineStr">
        <is>
          <t>Masked Person 29</t>
        </is>
      </c>
      <c r="D37" s="71" t="n">
        <v>0.946808510638298</v>
      </c>
      <c r="E37" s="56" t="inlineStr">
        <is>
          <t>Says was 100% charged</t>
        </is>
      </c>
    </row>
    <row r="38">
      <c r="A38" t="inlineStr">
        <is>
          <t>Masked Person 91</t>
        </is>
      </c>
      <c r="B38" s="31" t="inlineStr">
        <is>
          <t>Staff/Assistant 2</t>
        </is>
      </c>
      <c r="C38" s="31" t="inlineStr">
        <is>
          <t>Masked Person 37</t>
        </is>
      </c>
      <c r="D38" s="71" t="n">
        <v>0.949551569506726</v>
      </c>
      <c r="E38" s="23" t="inlineStr">
        <is>
          <t>NA</t>
        </is>
      </c>
    </row>
    <row r="39">
      <c r="A39" t="inlineStr">
        <is>
          <t>Masked Person 47</t>
        </is>
      </c>
      <c r="B39" s="31" t="inlineStr">
        <is>
          <t>Staff/Assistant 2</t>
        </is>
      </c>
      <c r="C39" s="31" t="inlineStr">
        <is>
          <t>Masked Person 13</t>
        </is>
      </c>
      <c r="D39" s="71" t="n">
        <v>0.974444444444444</v>
      </c>
      <c r="E39" s="23" t="inlineStr">
        <is>
          <t>NA</t>
        </is>
      </c>
    </row>
    <row r="40">
      <c r="A40" t="inlineStr">
        <is>
          <t>Masked Person 64</t>
        </is>
      </c>
      <c r="B40" s="31" t="inlineStr">
        <is>
          <t>Intern (CS) 1</t>
        </is>
      </c>
      <c r="C40" s="31" t="inlineStr">
        <is>
          <t>-</t>
        </is>
      </c>
      <c r="D40" s="71" t="n">
        <v>0.977678571428571</v>
      </c>
      <c r="E40" s="23" t="inlineStr">
        <is>
          <t>NA</t>
        </is>
      </c>
    </row>
    <row r="41">
      <c r="A41" t="inlineStr">
        <is>
          <t>Masked Person 93</t>
        </is>
      </c>
      <c r="B41" s="31" t="inlineStr">
        <is>
          <t>Intern (CS) 1</t>
        </is>
      </c>
      <c r="C41" s="31" t="inlineStr">
        <is>
          <t>Masked Person 1</t>
        </is>
      </c>
      <c r="D41" s="71" t="n">
        <v>0.977777777777778</v>
      </c>
      <c r="E41" s="23" t="inlineStr">
        <is>
          <t>NA</t>
        </is>
      </c>
    </row>
    <row r="42">
      <c r="A42" t="inlineStr">
        <is>
          <t>Masked Person 81</t>
        </is>
      </c>
      <c r="B42" s="31" t="inlineStr">
        <is>
          <t>Staff/Assistant 1</t>
        </is>
      </c>
      <c r="C42" s="31" t="inlineStr">
        <is>
          <t>Masked Person 11</t>
        </is>
      </c>
      <c r="D42" s="71" t="n">
        <v>0.980997624703088</v>
      </c>
      <c r="E42" s="23" t="inlineStr">
        <is>
          <t>NA</t>
        </is>
      </c>
    </row>
    <row r="43">
      <c r="A43" t="inlineStr">
        <is>
          <t>Masked Person 73</t>
        </is>
      </c>
      <c r="B43" s="31" t="inlineStr">
        <is>
          <t>Senior 2</t>
        </is>
      </c>
      <c r="C43" s="31" t="inlineStr">
        <is>
          <t>Masked Person 11</t>
        </is>
      </c>
      <c r="D43" s="71" t="n">
        <v>0.991323210412148</v>
      </c>
      <c r="E43" s="23" t="inlineStr">
        <is>
          <t>NA</t>
        </is>
      </c>
    </row>
    <row r="44">
      <c r="A44" t="inlineStr">
        <is>
          <t>Masked Person 8</t>
        </is>
      </c>
      <c r="B44" s="31" t="inlineStr">
        <is>
          <t>Senior 2</t>
        </is>
      </c>
      <c r="C44" s="31" t="inlineStr">
        <is>
          <t>-</t>
        </is>
      </c>
      <c r="D44" s="71" t="n">
        <v>0.991399082568807</v>
      </c>
      <c r="E44" s="23" t="inlineStr">
        <is>
          <t>NA</t>
        </is>
      </c>
    </row>
    <row r="45">
      <c r="A45" t="inlineStr">
        <is>
          <t>Masked Person 33</t>
        </is>
      </c>
      <c r="B45" s="31" t="inlineStr">
        <is>
          <t>Senior 2</t>
        </is>
      </c>
      <c r="C45" s="31" t="inlineStr">
        <is>
          <t>Masked Person 27</t>
        </is>
      </c>
      <c r="D45" s="71" t="n">
        <v>0.991471215351812</v>
      </c>
      <c r="E45" s="23" t="inlineStr">
        <is>
          <t>NA</t>
        </is>
      </c>
    </row>
    <row r="46">
      <c r="A46" t="inlineStr">
        <is>
          <t>Masked Person 76</t>
        </is>
      </c>
      <c r="B46" s="31" t="inlineStr">
        <is>
          <t>Staff/Assistant 2</t>
        </is>
      </c>
      <c r="C46" s="31" t="inlineStr">
        <is>
          <t>Masked Person 27</t>
        </is>
      </c>
      <c r="D46" s="71" t="n">
        <v>0.9918699186991869</v>
      </c>
      <c r="E46" s="23" t="inlineStr">
        <is>
          <t>NA</t>
        </is>
      </c>
    </row>
    <row r="47">
      <c r="A47" t="inlineStr">
        <is>
          <t>Masked Person 59</t>
        </is>
      </c>
      <c r="B47" s="31" t="inlineStr">
        <is>
          <t>Staff/Assistant 2</t>
        </is>
      </c>
      <c r="C47" s="31" t="inlineStr">
        <is>
          <t>Masked Person 1</t>
        </is>
      </c>
      <c r="D47" s="71" t="n">
        <v>0.994708994708995</v>
      </c>
      <c r="E47" s="23" t="inlineStr">
        <is>
          <t>NA</t>
        </is>
      </c>
    </row>
    <row r="48">
      <c r="A48" t="inlineStr">
        <is>
          <t>Masked Person 95</t>
        </is>
      </c>
      <c r="B48" s="31" t="inlineStr">
        <is>
          <t>Senior 1</t>
        </is>
      </c>
      <c r="C48" s="31" t="inlineStr">
        <is>
          <t>Masked Person 11</t>
        </is>
      </c>
      <c r="D48" s="71" t="n">
        <v>0.995065789473684</v>
      </c>
      <c r="E48" s="23" t="inlineStr">
        <is>
          <t>NA</t>
        </is>
      </c>
    </row>
    <row r="49">
      <c r="A49" t="inlineStr">
        <is>
          <t>Masked Person 46</t>
        </is>
      </c>
      <c r="B49" s="31" t="inlineStr">
        <is>
          <t>Senior 3</t>
        </is>
      </c>
      <c r="C49" s="31" t="inlineStr">
        <is>
          <t>Masked Person 11</t>
        </is>
      </c>
      <c r="D49" s="71" t="n">
        <v>0.995381062355658</v>
      </c>
      <c r="E49" s="23" t="inlineStr">
        <is>
          <t>NA</t>
        </is>
      </c>
    </row>
    <row r="50">
      <c r="A50" t="inlineStr">
        <is>
          <t>Masked Person 20</t>
        </is>
      </c>
      <c r="B50" s="31" t="inlineStr">
        <is>
          <t>Manager 3</t>
        </is>
      </c>
      <c r="C50" s="31" t="inlineStr">
        <is>
          <t>Masked Person 61</t>
        </is>
      </c>
      <c r="D50" s="71" t="n">
        <v>1</v>
      </c>
      <c r="E50" s="23" t="inlineStr">
        <is>
          <t>NA</t>
        </is>
      </c>
    </row>
    <row r="51">
      <c r="A51" t="inlineStr">
        <is>
          <t>Masked Person 57</t>
        </is>
      </c>
      <c r="B51" s="31" t="inlineStr">
        <is>
          <t>Manager 3</t>
        </is>
      </c>
      <c r="C51" s="31" t="inlineStr">
        <is>
          <t>Masked Person 42</t>
        </is>
      </c>
      <c r="D51" s="71" t="n">
        <v>1</v>
      </c>
      <c r="E51" s="23" t="inlineStr">
        <is>
          <t>NA</t>
        </is>
      </c>
    </row>
    <row r="52">
      <c r="A52" t="inlineStr">
        <is>
          <t>Masked Person 96</t>
        </is>
      </c>
      <c r="B52" s="31" t="inlineStr">
        <is>
          <t>Manager 3</t>
        </is>
      </c>
      <c r="C52" s="31" t="inlineStr">
        <is>
          <t>Masked Person 24</t>
        </is>
      </c>
      <c r="D52" s="71" t="n">
        <v>1</v>
      </c>
      <c r="E52" s="23" t="inlineStr">
        <is>
          <t>NA</t>
        </is>
      </c>
    </row>
    <row r="53">
      <c r="A53" t="inlineStr">
        <is>
          <t>Masked Person 22</t>
        </is>
      </c>
      <c r="B53" s="31" t="inlineStr">
        <is>
          <t>Senior 1</t>
        </is>
      </c>
      <c r="C53" s="31" t="inlineStr">
        <is>
          <t>Masked Person 11</t>
        </is>
      </c>
      <c r="D53" s="71" t="n">
        <v>1</v>
      </c>
      <c r="E53" s="23" t="inlineStr">
        <is>
          <t>NA</t>
        </is>
      </c>
    </row>
    <row r="54">
      <c r="A54" t="inlineStr">
        <is>
          <t>Masked Person 53</t>
        </is>
      </c>
      <c r="B54" s="31" t="inlineStr">
        <is>
          <t>Senior 1</t>
        </is>
      </c>
      <c r="C54" s="31" t="inlineStr">
        <is>
          <t>Masked Person 69</t>
        </is>
      </c>
      <c r="D54" s="71" t="n">
        <v>1</v>
      </c>
      <c r="E54" s="23" t="inlineStr">
        <is>
          <t>NA</t>
        </is>
      </c>
    </row>
    <row r="55">
      <c r="A55" t="inlineStr">
        <is>
          <t>Masked Person 79</t>
        </is>
      </c>
      <c r="B55" s="31" t="inlineStr">
        <is>
          <t>Senior 3</t>
        </is>
      </c>
      <c r="C55" s="31" t="inlineStr">
        <is>
          <t>Masked Person 37</t>
        </is>
      </c>
      <c r="D55" s="71" t="n">
        <v>1</v>
      </c>
      <c r="E55" s="23" t="inlineStr">
        <is>
          <t>NA</t>
        </is>
      </c>
    </row>
    <row r="56">
      <c r="A56" t="inlineStr">
        <is>
          <t>Masked Person 28</t>
        </is>
      </c>
      <c r="B56" s="31" t="inlineStr">
        <is>
          <t>Staff/Assistant 2</t>
        </is>
      </c>
      <c r="C56" s="31" t="inlineStr">
        <is>
          <t>Masked Person 7</t>
        </is>
      </c>
      <c r="D56" s="71" t="n">
        <v>1</v>
      </c>
      <c r="E56" s="23" t="inlineStr">
        <is>
          <t>NA</t>
        </is>
      </c>
    </row>
    <row r="57">
      <c r="A57" t="inlineStr">
        <is>
          <t>Masked Person 31</t>
        </is>
      </c>
      <c r="B57" s="31" t="inlineStr">
        <is>
          <t>Staff/Assistant 2</t>
        </is>
      </c>
      <c r="C57" s="31" t="inlineStr">
        <is>
          <t>Masked Person 11</t>
        </is>
      </c>
      <c r="D57" s="71" t="n">
        <v>1</v>
      </c>
      <c r="E57" s="23" t="inlineStr">
        <is>
          <t>NA</t>
        </is>
      </c>
    </row>
    <row r="58">
      <c r="A58" t="inlineStr">
        <is>
          <t>Masked Person 87</t>
        </is>
      </c>
      <c r="B58" s="31" t="inlineStr">
        <is>
          <t>Staff/Assistant 2</t>
        </is>
      </c>
      <c r="C58" s="31" t="inlineStr">
        <is>
          <t>Masked Person 55</t>
        </is>
      </c>
      <c r="D58" s="71" t="n">
        <v>1</v>
      </c>
      <c r="E58" s="23" t="inlineStr">
        <is>
          <t>NA</t>
        </is>
      </c>
    </row>
    <row r="59">
      <c r="A59" t="inlineStr">
        <is>
          <t>Masked Person 7</t>
        </is>
      </c>
      <c r="B59" s="31" t="inlineStr">
        <is>
          <t>Manager 3</t>
        </is>
      </c>
      <c r="C59" s="31" t="inlineStr">
        <is>
          <t>Masked Person 37</t>
        </is>
      </c>
      <c r="D59" s="71" t="n">
        <v>1.00326086956522</v>
      </c>
      <c r="E59" s="23" t="inlineStr">
        <is>
          <t>NA</t>
        </is>
      </c>
      <c r="F59" s="30">
        <f>17/64</f>
        <v/>
      </c>
    </row>
    <row r="60">
      <c r="A60" t="inlineStr">
        <is>
          <t>Masked Person 72</t>
        </is>
      </c>
      <c r="B60" s="31" t="inlineStr">
        <is>
          <t>Staff/Assistant 2</t>
        </is>
      </c>
      <c r="C60" s="31" t="inlineStr">
        <is>
          <t>Masked Person 20</t>
        </is>
      </c>
      <c r="D60" s="71" t="n">
        <v>1.02294685990338</v>
      </c>
      <c r="E60" s="23" t="inlineStr">
        <is>
          <t>NA</t>
        </is>
      </c>
    </row>
    <row r="61">
      <c r="A61" t="inlineStr">
        <is>
          <t>Masked Person 2</t>
        </is>
      </c>
      <c r="B61" s="31" t="inlineStr">
        <is>
          <t>Intern (CS) 1</t>
        </is>
      </c>
      <c r="C61" s="31" t="inlineStr">
        <is>
          <t>-</t>
        </is>
      </c>
      <c r="D61" s="71" t="n">
        <v>1.02966101694915</v>
      </c>
      <c r="E61" s="23" t="inlineStr">
        <is>
          <t>NA</t>
        </is>
      </c>
    </row>
    <row r="62">
      <c r="A62" t="inlineStr">
        <is>
          <t>Masked Person 3</t>
        </is>
      </c>
      <c r="B62" s="31" t="inlineStr">
        <is>
          <t>Senior 3</t>
        </is>
      </c>
      <c r="C62" s="31" t="inlineStr">
        <is>
          <t>Masked Person 20</t>
        </is>
      </c>
      <c r="D62" s="71" t="n">
        <v>1.0346062052506</v>
      </c>
      <c r="E62" s="23" t="inlineStr">
        <is>
          <t>NA</t>
        </is>
      </c>
    </row>
    <row r="63">
      <c r="A63" t="inlineStr">
        <is>
          <t>Masked Person 80</t>
        </is>
      </c>
      <c r="B63" s="31" t="inlineStr">
        <is>
          <t>Staff/Assistant 1</t>
        </is>
      </c>
      <c r="C63" s="31" t="inlineStr">
        <is>
          <t>Masked Person 7</t>
        </is>
      </c>
      <c r="D63" s="71" t="n">
        <v>1.03794642857143</v>
      </c>
      <c r="E63" s="23" t="inlineStr">
        <is>
          <t>NA</t>
        </is>
      </c>
    </row>
    <row r="64">
      <c r="A64" t="inlineStr">
        <is>
          <t>Masked Person 49</t>
        </is>
      </c>
      <c r="B64" s="31" t="inlineStr">
        <is>
          <t>Intern (CS) 1</t>
        </is>
      </c>
      <c r="C64" s="31" t="inlineStr">
        <is>
          <t>Masked Person 1</t>
        </is>
      </c>
      <c r="D64" s="71" t="n">
        <v>1.06944444444444</v>
      </c>
      <c r="E64" s="23" t="inlineStr">
        <is>
          <t>NA</t>
        </is>
      </c>
    </row>
    <row r="65">
      <c r="A65" t="inlineStr">
        <is>
          <t>Masked Person 41</t>
        </is>
      </c>
      <c r="B65" s="31" t="inlineStr">
        <is>
          <t>Intern (CS) 1</t>
        </is>
      </c>
      <c r="C65" s="31" t="inlineStr">
        <is>
          <t>-</t>
        </is>
      </c>
      <c r="E65" s="23" t="inlineStr">
        <is>
          <t>NA</t>
        </is>
      </c>
    </row>
    <row r="66"/>
    <row r="67">
      <c r="A67" t="inlineStr">
        <is>
          <t>Applied filters:
ASEAN is Core
 Country  is SG Singapore
Included (1) Technology Consulting (Sub-Service line) + AI and Data (Competency Filter)
Rank is not Partner/Principal
 Employee type  is Current employee
Rank is not Client Serving Contractor, Senior Associate, Associate, Supervising Associate, or Assistant Director
 Country  is not (Blank), LA Laos, or LK Sri Lanka</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67"/>
  <sheetViews>
    <sheetView showGridLines="0" zoomScale="75" zoomScaleNormal="90" workbookViewId="0">
      <selection activeCell="H9" sqref="H9"/>
    </sheetView>
  </sheetViews>
  <sheetFormatPr baseColWidth="8" defaultColWidth="22" defaultRowHeight="14.5"/>
  <cols>
    <col width="16.26953125" customWidth="1" style="350" min="1" max="1"/>
    <col width="34.54296875" bestFit="1" customWidth="1" style="31" min="2" max="2"/>
    <col width="22.54296875" bestFit="1" customWidth="1" style="31" min="3" max="3"/>
    <col width="37.26953125" customWidth="1" style="71" min="4" max="5"/>
    <col width="69.1796875" bestFit="1" customWidth="1" style="72" min="6" max="6"/>
    <col width="7.453125" customWidth="1" style="350" min="7" max="7"/>
  </cols>
  <sheetData>
    <row r="1" customFormat="1" s="31">
      <c r="A1" s="53" t="inlineStr">
        <is>
          <t>ResourceName</t>
        </is>
      </c>
      <c r="B1" s="53" t="inlineStr">
        <is>
          <t xml:space="preserve">Current Grade Order &amp; Description </t>
        </is>
      </c>
      <c r="C1" s="53" t="inlineStr">
        <is>
          <t>Counselor Name</t>
        </is>
      </c>
      <c r="D1" s="74" t="inlineStr">
        <is>
          <t>FY27 (3Weeks) WTD Effective Utilisation</t>
        </is>
      </c>
      <c r="E1" s="74" t="inlineStr">
        <is>
          <t>6 Months Forecast</t>
        </is>
      </c>
      <c r="F1" s="75" t="inlineStr">
        <is>
          <t>Remarks</t>
        </is>
      </c>
      <c r="G1" s="53" t="inlineStr">
        <is>
          <t>Column1</t>
        </is>
      </c>
    </row>
    <row r="2" ht="29" customHeight="1" s="350">
      <c r="A2" t="inlineStr">
        <is>
          <t>Masked Person 23</t>
        </is>
      </c>
      <c r="B2" s="31" t="inlineStr">
        <is>
          <t>Intern (CS) 1</t>
        </is>
      </c>
      <c r="C2" s="31" t="inlineStr">
        <is>
          <t>-</t>
        </is>
      </c>
      <c r="D2" s="78" t="n">
        <v>1</v>
      </c>
      <c r="E2" s="79" t="inlineStr">
        <is>
          <t>-</t>
        </is>
      </c>
      <c r="F2" s="80" t="inlineStr">
        <is>
          <t>Client R
(Internship ending 8Aug26)</t>
        </is>
      </c>
      <c r="G2" s="71" t="n"/>
      <c r="H2" s="55" t="n"/>
    </row>
    <row r="3">
      <c r="A3" t="inlineStr">
        <is>
          <t>Masked Person 44</t>
        </is>
      </c>
      <c r="B3" s="31" t="inlineStr">
        <is>
          <t>Intern (CS) 1</t>
        </is>
      </c>
      <c r="C3" s="31" t="inlineStr">
        <is>
          <t>-</t>
        </is>
      </c>
      <c r="D3" s="78" t="n">
        <v>1</v>
      </c>
      <c r="E3" s="78" t="n">
        <v>1</v>
      </c>
      <c r="F3" s="79" t="inlineStr">
        <is>
          <t>Platform C1</t>
        </is>
      </c>
      <c r="G3" s="71" t="n"/>
      <c r="H3" s="25" t="n"/>
    </row>
    <row r="4" ht="29" customHeight="1" s="350">
      <c r="A4" t="inlineStr">
        <is>
          <t>Masked Person 90</t>
        </is>
      </c>
      <c r="B4" s="31" t="inlineStr">
        <is>
          <t>Intern (CS) 1</t>
        </is>
      </c>
      <c r="C4" s="31" t="inlineStr">
        <is>
          <t>-</t>
        </is>
      </c>
      <c r="D4" s="78" t="n">
        <v>0</v>
      </c>
      <c r="E4" s="78" t="n">
        <v>1</v>
      </c>
      <c r="F4" s="80" t="inlineStr">
        <is>
          <t>Jul26: Bench
Aug-Dec26: Client R</t>
        </is>
      </c>
      <c r="G4" s="71" t="n"/>
      <c r="H4" s="25" t="n"/>
    </row>
    <row r="5">
      <c r="A5" t="inlineStr">
        <is>
          <t>Masked Person 32</t>
        </is>
      </c>
      <c r="B5" s="31" t="inlineStr">
        <is>
          <t>Staff/Assistant 1</t>
        </is>
      </c>
      <c r="C5" s="31" t="inlineStr">
        <is>
          <t>Masked Person 11</t>
        </is>
      </c>
      <c r="D5" s="78" t="n">
        <v>1</v>
      </c>
      <c r="E5" s="78" t="n">
        <v>1</v>
      </c>
      <c r="F5" s="79" t="inlineStr">
        <is>
          <t>Client L</t>
        </is>
      </c>
      <c r="G5" s="71" t="n"/>
      <c r="H5" s="59" t="n"/>
    </row>
    <row r="6" ht="29" customHeight="1" s="350">
      <c r="A6" t="inlineStr">
        <is>
          <t>Masked Person 66</t>
        </is>
      </c>
      <c r="B6" s="31" t="inlineStr">
        <is>
          <t>Intern (CS) 1</t>
        </is>
      </c>
      <c r="C6" s="31" t="inlineStr">
        <is>
          <t>Masked Person 37</t>
        </is>
      </c>
      <c r="D6" s="71" t="n">
        <v>1</v>
      </c>
      <c r="E6" s="76" t="inlineStr">
        <is>
          <t>-</t>
        </is>
      </c>
      <c r="F6" s="77" t="inlineStr">
        <is>
          <t>Client G
(Internship ending 8Aug26)</t>
        </is>
      </c>
      <c r="G6" s="71" t="n"/>
    </row>
    <row r="7" ht="29" customHeight="1" s="350">
      <c r="A7" t="inlineStr">
        <is>
          <t>Masked Person 62</t>
        </is>
      </c>
      <c r="B7" s="31" t="inlineStr">
        <is>
          <t>Intern (CS) 1</t>
        </is>
      </c>
      <c r="C7" s="31" t="inlineStr">
        <is>
          <t>Masked Person 61</t>
        </is>
      </c>
      <c r="D7" s="71" t="n">
        <v>1</v>
      </c>
      <c r="E7" s="79" t="inlineStr">
        <is>
          <t>-</t>
        </is>
      </c>
      <c r="F7" s="77" t="inlineStr">
        <is>
          <t>Platform C1
(Internship ending 31Jul26)</t>
        </is>
      </c>
      <c r="G7" s="71" t="n"/>
    </row>
    <row r="8">
      <c r="A8" t="inlineStr">
        <is>
          <t>Masked Person 70</t>
        </is>
      </c>
      <c r="B8" s="31" t="inlineStr">
        <is>
          <t>Staff/Assistant 2</t>
        </is>
      </c>
      <c r="C8" s="31" t="inlineStr">
        <is>
          <t>Masked Person 16</t>
        </is>
      </c>
      <c r="D8" s="71" t="n">
        <v>1</v>
      </c>
      <c r="E8" s="71" t="n">
        <v>1</v>
      </c>
      <c r="F8" s="76" t="inlineStr">
        <is>
          <t>Client A</t>
        </is>
      </c>
      <c r="G8" s="71" t="n"/>
    </row>
    <row r="9">
      <c r="A9" t="inlineStr">
        <is>
          <t>Masked Person 92</t>
        </is>
      </c>
      <c r="B9" s="31" t="inlineStr">
        <is>
          <t>Staff/Assistant 1</t>
        </is>
      </c>
      <c r="C9" s="31" t="inlineStr">
        <is>
          <t>-</t>
        </is>
      </c>
      <c r="D9" s="71" t="n">
        <v>1</v>
      </c>
      <c r="E9" s="71" t="n">
        <v>1</v>
      </c>
      <c r="F9" s="76" t="inlineStr">
        <is>
          <t>Client G</t>
        </is>
      </c>
      <c r="G9" s="71" t="n"/>
    </row>
    <row r="10">
      <c r="A10" s="81" t="inlineStr">
        <is>
          <t>Masked Person 68</t>
        </is>
      </c>
      <c r="B10" s="33" t="inlineStr">
        <is>
          <t>Manager 2</t>
        </is>
      </c>
      <c r="C10" s="33" t="inlineStr">
        <is>
          <t>Masked Person 42</t>
        </is>
      </c>
      <c r="D10" s="78" t="n">
        <v>1</v>
      </c>
      <c r="E10" s="78" t="n">
        <v>1</v>
      </c>
      <c r="F10" s="80" t="inlineStr">
        <is>
          <t>Client F Project F2, Client L, Project I1</t>
        </is>
      </c>
      <c r="G10" s="71" t="n"/>
    </row>
    <row r="11">
      <c r="A11" s="81" t="inlineStr">
        <is>
          <t>Masked Person 38</t>
        </is>
      </c>
      <c r="B11" s="33" t="inlineStr">
        <is>
          <t>Staff/Assistant 2</t>
        </is>
      </c>
      <c r="C11" s="33" t="inlineStr">
        <is>
          <t>Masked Person 29</t>
        </is>
      </c>
      <c r="D11" s="78" t="n">
        <v>0.1</v>
      </c>
      <c r="E11" s="78" t="n">
        <v>1</v>
      </c>
      <c r="F11" s="80" t="inlineStr">
        <is>
          <t>Supporting Project C2 &amp; Reserved for Project C2 Investigation Assistant</t>
        </is>
      </c>
      <c r="G11" s="71" t="n"/>
    </row>
    <row r="12">
      <c r="A12" t="inlineStr">
        <is>
          <t>Masked Person 12</t>
        </is>
      </c>
      <c r="B12" s="31" t="inlineStr">
        <is>
          <t>Senior 2</t>
        </is>
      </c>
      <c r="C12" s="31" t="inlineStr">
        <is>
          <t>Masked Person 29</t>
        </is>
      </c>
      <c r="D12" s="91" t="n">
        <v>0</v>
      </c>
      <c r="E12" s="78" t="n">
        <v>0</v>
      </c>
      <c r="F12" s="76" t="inlineStr">
        <is>
          <t>Reserved for Project C2 investigation Assistant. Sep26. !00%</t>
        </is>
      </c>
      <c r="G12" s="71" t="n"/>
    </row>
    <row r="13" ht="29" customHeight="1" s="350">
      <c r="A13" t="inlineStr">
        <is>
          <t>Masked Person 6</t>
        </is>
      </c>
      <c r="B13" s="31" t="inlineStr">
        <is>
          <t>Senior 3</t>
        </is>
      </c>
      <c r="C13" s="31" t="inlineStr">
        <is>
          <t>-</t>
        </is>
      </c>
      <c r="D13" s="71" t="n">
        <v>1</v>
      </c>
      <c r="E13" s="71" t="n">
        <v>1</v>
      </c>
      <c r="F13" s="88" t="inlineStr">
        <is>
          <t>Data Management Strategy Study
Client L, Client T</t>
        </is>
      </c>
      <c r="G13" s="71" t="n"/>
    </row>
    <row r="14">
      <c r="A14" t="inlineStr">
        <is>
          <t>Masked Person 39</t>
        </is>
      </c>
      <c r="B14" s="31" t="inlineStr">
        <is>
          <t>Senior 1</t>
        </is>
      </c>
      <c r="C14" s="31" t="inlineStr">
        <is>
          <t>Masked Person 42</t>
        </is>
      </c>
      <c r="D14" s="71" t="n">
        <v>1</v>
      </c>
      <c r="E14" s="78" t="n">
        <v>0</v>
      </c>
      <c r="F14" s="79" t="inlineStr">
        <is>
          <t>Client F, Sep26 onwards 0%</t>
        </is>
      </c>
      <c r="G14" s="71" t="n"/>
    </row>
    <row r="15">
      <c r="A15" t="inlineStr">
        <is>
          <t>Masked Person 5</t>
        </is>
      </c>
      <c r="B15" s="31" t="inlineStr">
        <is>
          <t>Senior 1</t>
        </is>
      </c>
      <c r="C15" s="31" t="inlineStr">
        <is>
          <t>Masked Person 69</t>
        </is>
      </c>
      <c r="D15" s="71" t="n">
        <v>0</v>
      </c>
      <c r="E15" s="78" t="n">
        <v>0</v>
      </c>
      <c r="F15" s="76" t="inlineStr">
        <is>
          <t>Bench</t>
        </is>
      </c>
      <c r="G15" s="71" t="n"/>
    </row>
    <row r="16" ht="29" customHeight="1" s="350">
      <c r="A16" s="81" t="inlineStr">
        <is>
          <t>Masked Person 50</t>
        </is>
      </c>
      <c r="B16" s="33" t="inlineStr">
        <is>
          <t>Senior 3</t>
        </is>
      </c>
      <c r="C16" s="33" t="inlineStr">
        <is>
          <t>Masked Person 11</t>
        </is>
      </c>
      <c r="D16" s="78" t="n">
        <v>0.3</v>
      </c>
      <c r="E16" s="78" t="n">
        <v>0.3</v>
      </c>
      <c r="F16" s="77" t="inlineStr">
        <is>
          <t xml:space="preserve">Client A &amp; Client C
Bench </t>
        </is>
      </c>
      <c r="G16" s="71" t="n"/>
    </row>
    <row r="17">
      <c r="A17" t="inlineStr">
        <is>
          <t>Masked Person 18</t>
        </is>
      </c>
      <c r="B17" s="31" t="inlineStr">
        <is>
          <t>Staff/Assistant 2</t>
        </is>
      </c>
      <c r="C17" s="31" t="inlineStr">
        <is>
          <t>Masked Person 42</t>
        </is>
      </c>
      <c r="D17" s="71" t="n">
        <v>1</v>
      </c>
      <c r="E17" s="78" t="n">
        <v>0.66</v>
      </c>
      <c r="F17" s="76" t="inlineStr">
        <is>
          <t>Client E, Client A, till Oct. Reserved for Project C2 Investigation Assistance</t>
        </is>
      </c>
      <c r="G17" s="71" t="inlineStr">
        <is>
          <t>Client AA security AI</t>
        </is>
      </c>
    </row>
    <row r="18">
      <c r="A18" t="inlineStr">
        <is>
          <t>Masked Person 67</t>
        </is>
      </c>
      <c r="B18" s="31" t="inlineStr">
        <is>
          <t>Intern (CS) 1</t>
        </is>
      </c>
      <c r="C18" s="31" t="inlineStr">
        <is>
          <t>Masked Person 1</t>
        </is>
      </c>
      <c r="D18" s="71" t="n">
        <v>1</v>
      </c>
      <c r="E18" s="78" t="n">
        <v>1</v>
      </c>
      <c r="F18" s="71" t="inlineStr">
        <is>
          <t>Client A, Internship ending in April 27</t>
        </is>
      </c>
      <c r="G18" s="71" t="n"/>
    </row>
    <row r="19">
      <c r="A19" t="inlineStr">
        <is>
          <t>Masked Person 55</t>
        </is>
      </c>
      <c r="B19" s="31" t="inlineStr">
        <is>
          <t>Manager 3</t>
        </is>
      </c>
      <c r="C19" s="31" t="inlineStr">
        <is>
          <t>Masked Person 24</t>
        </is>
      </c>
      <c r="D19" s="71" t="n">
        <v>0.6</v>
      </c>
      <c r="E19" s="78" t="n">
        <v>0.4</v>
      </c>
      <c r="F19" s="71" t="inlineStr">
        <is>
          <t xml:space="preserve">40% avail till Oct, 0% after. </t>
        </is>
      </c>
      <c r="G19" s="71" t="n"/>
    </row>
    <row r="20">
      <c r="A20" s="96" t="inlineStr">
        <is>
          <t>Masked Person 83</t>
        </is>
      </c>
      <c r="B20" s="31" t="inlineStr">
        <is>
          <t>Manager 2</t>
        </is>
      </c>
      <c r="C20" s="31" t="inlineStr">
        <is>
          <t>Masked Person 29</t>
        </is>
      </c>
      <c r="D20" s="71" t="n">
        <v>0</v>
      </c>
      <c r="E20" s="78" t="n">
        <v>0</v>
      </c>
      <c r="F20" s="76" t="inlineStr">
        <is>
          <t>Client S BD</t>
        </is>
      </c>
      <c r="G20" s="71" t="n"/>
    </row>
    <row r="21">
      <c r="A21" t="inlineStr">
        <is>
          <t>Masked Person 27</t>
        </is>
      </c>
      <c r="B21" s="31" t="inlineStr">
        <is>
          <t>Manager 3</t>
        </is>
      </c>
      <c r="C21" s="31" t="inlineStr">
        <is>
          <t>Masked Person 24</t>
        </is>
      </c>
      <c r="D21" s="71" t="n">
        <v>0.9</v>
      </c>
      <c r="E21" s="78" t="n">
        <v>0.9</v>
      </c>
      <c r="F21" s="71" t="inlineStr">
        <is>
          <t>Client A, Client C, 0% Jan onwards</t>
        </is>
      </c>
      <c r="G21" s="71" t="n"/>
    </row>
    <row r="22">
      <c r="A22" t="inlineStr">
        <is>
          <t>Masked Person 25</t>
        </is>
      </c>
      <c r="B22" s="31" t="inlineStr">
        <is>
          <t>Manager 1</t>
        </is>
      </c>
      <c r="C22" s="31" t="inlineStr">
        <is>
          <t>Masked Person 29</t>
        </is>
      </c>
      <c r="D22" s="71" t="n">
        <v>1</v>
      </c>
      <c r="E22" s="78" t="n">
        <v>0.66</v>
      </c>
      <c r="F22" s="76" t="inlineStr">
        <is>
          <t>0% Oct onwards, Reserved for Project C2 Invstigation Assistance</t>
        </is>
      </c>
      <c r="G22" s="71" t="n"/>
    </row>
    <row r="23">
      <c r="A23" t="inlineStr">
        <is>
          <t>Masked Person 78</t>
        </is>
      </c>
      <c r="B23" s="31" t="inlineStr">
        <is>
          <t>Staff/Assistant 1</t>
        </is>
      </c>
      <c r="C23" s="31" t="inlineStr">
        <is>
          <t>Masked Person 37</t>
        </is>
      </c>
      <c r="D23" s="71" t="n">
        <v>1</v>
      </c>
      <c r="E23" s="78" t="n">
        <v>1</v>
      </c>
      <c r="F23" s="71" t="inlineStr">
        <is>
          <t>Client A</t>
        </is>
      </c>
      <c r="G23" s="71" t="n"/>
    </row>
    <row r="24">
      <c r="A24" t="inlineStr">
        <is>
          <t>Masked Person 85</t>
        </is>
      </c>
      <c r="B24" s="31" t="inlineStr">
        <is>
          <t>Intern (CS) 1</t>
        </is>
      </c>
      <c r="C24" s="31" t="inlineStr">
        <is>
          <t>Masked Person 11</t>
        </is>
      </c>
      <c r="D24" s="71" t="n">
        <v>0</v>
      </c>
      <c r="E24" s="78" t="inlineStr">
        <is>
          <t>-</t>
        </is>
      </c>
      <c r="F24" s="89" t="inlineStr">
        <is>
          <t>BD, Internship ends 7 Aug</t>
        </is>
      </c>
      <c r="G24" s="71" t="n"/>
    </row>
    <row r="25">
      <c r="A25" t="inlineStr">
        <is>
          <t>Masked Person 4</t>
        </is>
      </c>
      <c r="B25" s="31" t="inlineStr">
        <is>
          <t>Senior 1</t>
        </is>
      </c>
      <c r="D25" s="71" t="n">
        <v>1</v>
      </c>
      <c r="E25" s="78" t="n">
        <v>0.8</v>
      </c>
      <c r="F25" s="71" t="inlineStr">
        <is>
          <t>100% Client G Nov onwards</t>
        </is>
      </c>
      <c r="G25" s="71" t="n"/>
    </row>
    <row r="26">
      <c r="A26" t="inlineStr">
        <is>
          <t>Masked Person 26</t>
        </is>
      </c>
      <c r="B26" s="31" t="inlineStr">
        <is>
          <t>Senior 3</t>
        </is>
      </c>
      <c r="C26" s="31" t="inlineStr">
        <is>
          <t>Masked Person 27</t>
        </is>
      </c>
      <c r="D26" s="71" t="n">
        <v>1</v>
      </c>
      <c r="E26" s="78" t="n">
        <v>0.8</v>
      </c>
      <c r="F26" s="71" t="inlineStr">
        <is>
          <t>Client P, Client Q, 100% Client P Nov onward (Tentative Client H)</t>
        </is>
      </c>
      <c r="G26" s="71" t="n"/>
    </row>
    <row r="27">
      <c r="A27" t="inlineStr">
        <is>
          <t>Masked Person 35</t>
        </is>
      </c>
      <c r="B27" s="31" t="inlineStr">
        <is>
          <t>Senior 2</t>
        </is>
      </c>
      <c r="C27" s="31" t="inlineStr">
        <is>
          <t>Masked Person 24</t>
        </is>
      </c>
      <c r="D27" s="71" t="n">
        <v>0</v>
      </c>
      <c r="E27" s="78" t="n">
        <v>0</v>
      </c>
      <c r="F27" s="71" t="inlineStr">
        <is>
          <t>Currently - Client L LR (Masked Person 24), Project C4 (Masked Person 42/Masked Person 40), Client AF (Masked Person 29)</t>
        </is>
      </c>
      <c r="G27" s="71" t="n"/>
    </row>
    <row r="28">
      <c r="A28" t="inlineStr">
        <is>
          <t>Masked Person 9</t>
        </is>
      </c>
      <c r="B28" s="31" t="inlineStr">
        <is>
          <t>Staff/Assistant 2</t>
        </is>
      </c>
      <c r="C28" s="31" t="inlineStr">
        <is>
          <t>Masked Person 37</t>
        </is>
      </c>
      <c r="D28" s="71" t="n">
        <v>1</v>
      </c>
      <c r="E28" s="71" t="n">
        <v>1</v>
      </c>
      <c r="F28" s="71" t="inlineStr">
        <is>
          <t>Client A</t>
        </is>
      </c>
      <c r="G28" s="71" t="n"/>
    </row>
    <row r="29">
      <c r="A29" t="inlineStr">
        <is>
          <t>Masked Person 60</t>
        </is>
      </c>
      <c r="B29" s="31" t="inlineStr">
        <is>
          <t>Manager 1</t>
        </is>
      </c>
      <c r="C29" s="31" t="inlineStr">
        <is>
          <t>Masked Person 42</t>
        </is>
      </c>
      <c r="D29" s="71" t="n">
        <v>1</v>
      </c>
      <c r="E29" s="78" t="n">
        <v>0.7</v>
      </c>
      <c r="F29" s="71" t="inlineStr">
        <is>
          <t>Sep onwards 0%</t>
        </is>
      </c>
      <c r="G29" s="71" t="n"/>
    </row>
    <row r="30">
      <c r="A30" t="inlineStr">
        <is>
          <t>Masked Person 19</t>
        </is>
      </c>
      <c r="B30" s="31" t="inlineStr">
        <is>
          <t>Intern (CS) 1</t>
        </is>
      </c>
      <c r="C30" s="31" t="inlineStr">
        <is>
          <t>Masked Person 29</t>
        </is>
      </c>
      <c r="D30" s="71" t="n">
        <v>1</v>
      </c>
      <c r="E30" s="78" t="n">
        <v>0.1</v>
      </c>
      <c r="F30" s="71" t="inlineStr">
        <is>
          <t>Project I1, Aug onwards Client J 100%</t>
        </is>
      </c>
      <c r="G30" s="71" t="n"/>
    </row>
    <row r="31">
      <c r="A31" t="inlineStr">
        <is>
          <t>Masked Person 63</t>
        </is>
      </c>
      <c r="B31" s="31" t="inlineStr">
        <is>
          <t>Staff/Assistant 2</t>
        </is>
      </c>
      <c r="C31" s="31" t="inlineStr">
        <is>
          <t>Masked Person 13</t>
        </is>
      </c>
      <c r="D31" s="71" t="n">
        <v>1</v>
      </c>
      <c r="E31" s="78" t="n">
        <v>1</v>
      </c>
      <c r="F31" s="71" t="inlineStr">
        <is>
          <t>Client B</t>
        </is>
      </c>
      <c r="G31" s="71" t="n"/>
    </row>
    <row r="32">
      <c r="A32" t="inlineStr">
        <is>
          <t>Masked Person 34</t>
        </is>
      </c>
      <c r="B32" s="31" t="inlineStr">
        <is>
          <t>Staff/Assistant 1</t>
        </is>
      </c>
      <c r="C32" s="31" t="inlineStr">
        <is>
          <t>Masked Person 29</t>
        </is>
      </c>
      <c r="D32" s="71" t="n">
        <v>1</v>
      </c>
      <c r="E32" s="78" t="n">
        <v>0.66</v>
      </c>
      <c r="F32" s="71" t="inlineStr">
        <is>
          <t>Client F, Oct onwards 0%</t>
        </is>
      </c>
      <c r="G32" s="71" t="n"/>
    </row>
    <row r="33">
      <c r="A33" t="inlineStr">
        <is>
          <t>Masked Person 15</t>
        </is>
      </c>
      <c r="B33" s="31" t="inlineStr">
        <is>
          <t>Intern (CS) 1</t>
        </is>
      </c>
      <c r="C33" s="31" t="inlineStr">
        <is>
          <t>-</t>
        </is>
      </c>
      <c r="D33" s="71" t="n">
        <v>1</v>
      </c>
      <c r="E33" s="78" t="n">
        <v>0.9</v>
      </c>
      <c r="F33" s="71" t="inlineStr">
        <is>
          <t>Client I, Client J, Internship ending in 13 Nov</t>
        </is>
      </c>
      <c r="G33" s="71" t="n"/>
    </row>
    <row r="34">
      <c r="A34" t="inlineStr">
        <is>
          <t>Masked Person 30</t>
        </is>
      </c>
      <c r="B34" s="31" t="inlineStr">
        <is>
          <t>Senior 3</t>
        </is>
      </c>
      <c r="C34" s="31" t="inlineStr">
        <is>
          <t>-</t>
        </is>
      </c>
      <c r="D34" s="71" t="n">
        <v>1</v>
      </c>
      <c r="E34" s="71" t="n">
        <v>1</v>
      </c>
      <c r="F34" s="71" t="inlineStr">
        <is>
          <t>Platform C1</t>
        </is>
      </c>
      <c r="G34" s="71" t="n"/>
    </row>
    <row r="35">
      <c r="A35" t="inlineStr">
        <is>
          <t>Masked Person 52</t>
        </is>
      </c>
      <c r="B35" s="31" t="inlineStr">
        <is>
          <t>Staff/Assistant 2</t>
        </is>
      </c>
      <c r="D35" s="71" t="n">
        <v>1</v>
      </c>
      <c r="E35" s="71" t="n">
        <v>1</v>
      </c>
      <c r="F35" s="71" t="inlineStr">
        <is>
          <t>Platform C1</t>
        </is>
      </c>
      <c r="G35" s="71" t="n"/>
    </row>
    <row r="36">
      <c r="A36" t="inlineStr">
        <is>
          <t>Masked Person 89</t>
        </is>
      </c>
      <c r="B36" s="31" t="inlineStr">
        <is>
          <t>Staff/Assistant 1</t>
        </is>
      </c>
      <c r="C36" s="31" t="inlineStr">
        <is>
          <t>Masked Person 1</t>
        </is>
      </c>
      <c r="D36" s="71" t="n">
        <v>1</v>
      </c>
      <c r="E36" s="71" t="n">
        <v>1</v>
      </c>
      <c r="F36" s="71" t="inlineStr">
        <is>
          <t>Client A</t>
        </is>
      </c>
      <c r="G36" s="71" t="n"/>
    </row>
    <row r="37">
      <c r="A37" t="inlineStr">
        <is>
          <t>Masked Person 45</t>
        </is>
      </c>
      <c r="B37" s="31" t="inlineStr">
        <is>
          <t>Intern (CS) 1</t>
        </is>
      </c>
      <c r="C37" s="31" t="inlineStr">
        <is>
          <t>Masked Person 29</t>
        </is>
      </c>
      <c r="D37" s="71" t="n">
        <v>1</v>
      </c>
      <c r="E37" s="71" t="n">
        <v>1</v>
      </c>
      <c r="F37" s="71" t="inlineStr">
        <is>
          <t>Jul - Aug 2026 - Client I 100%, Sep - Dec 2026 Client J 100%</t>
        </is>
      </c>
      <c r="G37" s="71" t="n"/>
    </row>
    <row r="38">
      <c r="A38" t="inlineStr">
        <is>
          <t>Masked Person 91</t>
        </is>
      </c>
      <c r="B38" s="31" t="inlineStr">
        <is>
          <t>Staff/Assistant 2</t>
        </is>
      </c>
      <c r="C38" s="31" t="inlineStr">
        <is>
          <t>Masked Person 37</t>
        </is>
      </c>
      <c r="D38" s="71" t="n">
        <v>1</v>
      </c>
      <c r="E38" s="71" t="n">
        <v>1</v>
      </c>
      <c r="F38" s="71" t="inlineStr">
        <is>
          <t>Client M</t>
        </is>
      </c>
      <c r="G38" s="71" t="n"/>
    </row>
    <row r="39">
      <c r="A39" t="inlineStr">
        <is>
          <t>Masked Person 47</t>
        </is>
      </c>
      <c r="B39" s="31" t="inlineStr">
        <is>
          <t>Staff/Assistant 2</t>
        </is>
      </c>
      <c r="C39" s="31" t="inlineStr">
        <is>
          <t>Masked Person 13</t>
        </is>
      </c>
      <c r="D39" s="71" t="n">
        <v>1</v>
      </c>
      <c r="E39" s="78" t="inlineStr">
        <is>
          <t>-</t>
        </is>
      </c>
      <c r="F39" s="76" t="inlineStr">
        <is>
          <t>Client E, 0% Oct onwards, Last day 21 Aug</t>
        </is>
      </c>
      <c r="G39" s="71" t="n"/>
    </row>
    <row r="40">
      <c r="A40" t="inlineStr">
        <is>
          <t>Masked Person 64</t>
        </is>
      </c>
      <c r="B40" s="31" t="inlineStr">
        <is>
          <t>Intern (CS) 1</t>
        </is>
      </c>
      <c r="C40" s="31" t="inlineStr">
        <is>
          <t>-</t>
        </is>
      </c>
      <c r="D40" s="71" t="n">
        <v>1</v>
      </c>
      <c r="E40" s="71" t="n">
        <v>1</v>
      </c>
      <c r="F40" s="76" t="inlineStr">
        <is>
          <t>Project I1, Internship ending 11 Dec</t>
        </is>
      </c>
      <c r="G40" s="71" t="n"/>
    </row>
    <row r="41">
      <c r="A41" t="inlineStr">
        <is>
          <t>Masked Person 93</t>
        </is>
      </c>
      <c r="B41" s="31" t="inlineStr">
        <is>
          <t>Intern (CS) 1</t>
        </is>
      </c>
      <c r="C41" s="31" t="inlineStr">
        <is>
          <t>Masked Person 1</t>
        </is>
      </c>
      <c r="D41" s="71" t="n">
        <v>1</v>
      </c>
      <c r="E41" s="71" t="n">
        <v>1</v>
      </c>
      <c r="F41" s="76" t="inlineStr">
        <is>
          <t>Client A, Internship ending in Dec</t>
        </is>
      </c>
      <c r="G41" s="71" t="n"/>
    </row>
    <row r="42">
      <c r="A42" t="inlineStr">
        <is>
          <t>Masked Person 81</t>
        </is>
      </c>
      <c r="B42" s="31" t="inlineStr">
        <is>
          <t>Staff/Assistant 1</t>
        </is>
      </c>
      <c r="C42" s="31" t="inlineStr">
        <is>
          <t>Masked Person 11</t>
        </is>
      </c>
      <c r="D42" s="71" t="n">
        <v>1</v>
      </c>
      <c r="E42" s="71" t="n">
        <v>1</v>
      </c>
      <c r="F42" s="71" t="inlineStr">
        <is>
          <t>Client B</t>
        </is>
      </c>
      <c r="G42" s="71" t="n"/>
    </row>
    <row r="43">
      <c r="A43" t="inlineStr">
        <is>
          <t>Masked Person 73</t>
        </is>
      </c>
      <c r="B43" s="31" t="inlineStr">
        <is>
          <t>Senior 2</t>
        </is>
      </c>
      <c r="C43" s="31" t="inlineStr">
        <is>
          <t>Masked Person 11</t>
        </is>
      </c>
      <c r="D43" s="71" t="n">
        <v>1</v>
      </c>
      <c r="E43" s="71" t="n">
        <v>1</v>
      </c>
      <c r="F43" s="71" t="inlineStr">
        <is>
          <t>Client D</t>
        </is>
      </c>
      <c r="G43" s="71" t="n"/>
    </row>
    <row r="44">
      <c r="A44" t="inlineStr">
        <is>
          <t>Masked Person 8</t>
        </is>
      </c>
      <c r="B44" s="31" t="inlineStr">
        <is>
          <t>Senior 2</t>
        </is>
      </c>
      <c r="C44" s="31" t="inlineStr">
        <is>
          <t>-</t>
        </is>
      </c>
      <c r="D44" s="71" t="n">
        <v>1</v>
      </c>
      <c r="E44" s="71" t="n">
        <v>1</v>
      </c>
      <c r="F44" s="71" t="inlineStr">
        <is>
          <t>Client A</t>
        </is>
      </c>
      <c r="G44" s="71" t="n"/>
    </row>
    <row r="45">
      <c r="A45" t="inlineStr">
        <is>
          <t>Masked Person 33</t>
        </is>
      </c>
      <c r="B45" s="31" t="inlineStr">
        <is>
          <t>Senior 2</t>
        </is>
      </c>
      <c r="C45" s="31" t="inlineStr">
        <is>
          <t>Masked Person 27</t>
        </is>
      </c>
      <c r="D45" s="71" t="n">
        <v>1</v>
      </c>
      <c r="E45" s="71" t="n">
        <v>1</v>
      </c>
      <c r="F45" s="71" t="inlineStr">
        <is>
          <t>Client B</t>
        </is>
      </c>
      <c r="G45" s="71" t="n"/>
    </row>
    <row r="46">
      <c r="A46" t="inlineStr">
        <is>
          <t>Masked Person 76</t>
        </is>
      </c>
      <c r="B46" s="31" t="inlineStr">
        <is>
          <t>Staff/Assistant 2</t>
        </is>
      </c>
      <c r="C46" s="31" t="inlineStr">
        <is>
          <t>Masked Person 27</t>
        </is>
      </c>
      <c r="D46" s="71" t="n">
        <v>1</v>
      </c>
      <c r="E46" s="71" t="n">
        <v>1</v>
      </c>
      <c r="F46" s="71" t="inlineStr">
        <is>
          <t>Client A</t>
        </is>
      </c>
      <c r="G46" s="71" t="n"/>
    </row>
    <row r="47">
      <c r="A47" t="inlineStr">
        <is>
          <t>Masked Person 59</t>
        </is>
      </c>
      <c r="B47" s="31" t="inlineStr">
        <is>
          <t>Staff/Assistant 2</t>
        </is>
      </c>
      <c r="C47" s="31" t="inlineStr">
        <is>
          <t>Masked Person 1</t>
        </is>
      </c>
      <c r="D47" s="71" t="n">
        <v>1</v>
      </c>
      <c r="E47" s="71" t="n">
        <v>1</v>
      </c>
      <c r="F47" s="71" t="inlineStr">
        <is>
          <t>Client A</t>
        </is>
      </c>
      <c r="G47" s="71" t="n"/>
    </row>
    <row r="48">
      <c r="A48" t="inlineStr">
        <is>
          <t>Masked Person 95</t>
        </is>
      </c>
      <c r="B48" s="31" t="inlineStr">
        <is>
          <t>Senior 1</t>
        </is>
      </c>
      <c r="C48" s="31" t="inlineStr">
        <is>
          <t>Masked Person 11</t>
        </is>
      </c>
      <c r="D48" s="71" t="n">
        <v>1</v>
      </c>
      <c r="E48" s="71" t="n">
        <v>1</v>
      </c>
      <c r="F48" s="71" t="inlineStr">
        <is>
          <t>Client B</t>
        </is>
      </c>
      <c r="G48" s="71" t="n"/>
    </row>
    <row r="49">
      <c r="A49" t="inlineStr">
        <is>
          <t>Masked Person 46</t>
        </is>
      </c>
      <c r="B49" s="31" t="inlineStr">
        <is>
          <t>Senior 3</t>
        </is>
      </c>
      <c r="C49" s="31" t="inlineStr">
        <is>
          <t>Masked Person 11</t>
        </is>
      </c>
      <c r="D49" s="71" t="n">
        <v>1</v>
      </c>
      <c r="E49" s="71" t="n">
        <v>1</v>
      </c>
      <c r="F49" s="71" t="inlineStr">
        <is>
          <t>Client B</t>
        </is>
      </c>
      <c r="G49" s="71" t="n"/>
    </row>
    <row r="50">
      <c r="A50" t="inlineStr">
        <is>
          <t>Masked Person 20</t>
        </is>
      </c>
      <c r="B50" s="31" t="inlineStr">
        <is>
          <t>Manager 3</t>
        </is>
      </c>
      <c r="C50" s="31" t="inlineStr">
        <is>
          <t>Masked Person 61</t>
        </is>
      </c>
      <c r="D50" s="71" t="n">
        <v>1</v>
      </c>
      <c r="E50" s="71" t="n">
        <v>1</v>
      </c>
      <c r="F50" s="71" t="inlineStr">
        <is>
          <t>Client B</t>
        </is>
      </c>
      <c r="G50" s="71" t="n"/>
    </row>
    <row r="51">
      <c r="A51" t="inlineStr">
        <is>
          <t>Masked Person 57</t>
        </is>
      </c>
      <c r="B51" s="31" t="inlineStr">
        <is>
          <t>Manager 3</t>
        </is>
      </c>
      <c r="C51" s="31" t="inlineStr">
        <is>
          <t>Masked Person 42</t>
        </is>
      </c>
      <c r="D51" s="71" t="n">
        <v>1</v>
      </c>
      <c r="E51" s="71" t="n">
        <v>1</v>
      </c>
      <c r="F51" s="71" t="inlineStr">
        <is>
          <t>Client K</t>
        </is>
      </c>
      <c r="G51" s="71" t="n"/>
    </row>
    <row r="52">
      <c r="A52" t="inlineStr">
        <is>
          <t>Masked Person 96</t>
        </is>
      </c>
      <c r="B52" s="31" t="inlineStr">
        <is>
          <t>Manager 3</t>
        </is>
      </c>
      <c r="C52" s="31" t="inlineStr">
        <is>
          <t>Masked Person 24</t>
        </is>
      </c>
      <c r="D52" s="71" t="n">
        <v>1</v>
      </c>
      <c r="E52" s="71" t="n">
        <v>1</v>
      </c>
      <c r="F52" s="71" t="inlineStr">
        <is>
          <t>Client A</t>
        </is>
      </c>
      <c r="G52" s="71" t="n"/>
    </row>
    <row r="53">
      <c r="A53" t="inlineStr">
        <is>
          <t>Masked Person 22</t>
        </is>
      </c>
      <c r="B53" s="31" t="inlineStr">
        <is>
          <t>Senior 1</t>
        </is>
      </c>
      <c r="C53" s="31" t="inlineStr">
        <is>
          <t>Masked Person 11</t>
        </is>
      </c>
      <c r="D53" s="71" t="n">
        <v>1</v>
      </c>
      <c r="E53" s="71" t="n">
        <v>1</v>
      </c>
      <c r="F53" s="71" t="inlineStr">
        <is>
          <t>Client D</t>
        </is>
      </c>
      <c r="G53" s="71" t="n"/>
    </row>
    <row r="54">
      <c r="A54" t="inlineStr">
        <is>
          <t>Masked Person 53</t>
        </is>
      </c>
      <c r="B54" s="31" t="inlineStr">
        <is>
          <t>Senior 1</t>
        </is>
      </c>
      <c r="C54" s="31" t="inlineStr">
        <is>
          <t>Masked Person 69</t>
        </is>
      </c>
      <c r="D54" s="71" t="n">
        <v>1</v>
      </c>
      <c r="E54" s="71" t="n">
        <v>1</v>
      </c>
      <c r="F54" s="71" t="inlineStr">
        <is>
          <t>Client B</t>
        </is>
      </c>
      <c r="G54" s="71" t="n"/>
    </row>
    <row r="55">
      <c r="A55" t="inlineStr">
        <is>
          <t>Masked Person 79</t>
        </is>
      </c>
      <c r="B55" s="31" t="inlineStr">
        <is>
          <t>Senior 3</t>
        </is>
      </c>
      <c r="C55" s="31" t="inlineStr">
        <is>
          <t>Masked Person 37</t>
        </is>
      </c>
      <c r="D55" s="71" t="n">
        <v>1</v>
      </c>
      <c r="E55" s="71" t="n">
        <v>1</v>
      </c>
      <c r="F55" s="71" t="inlineStr">
        <is>
          <t>Client A</t>
        </is>
      </c>
      <c r="G55" s="71" t="n"/>
    </row>
    <row r="56">
      <c r="A56" t="inlineStr">
        <is>
          <t>Masked Person 28</t>
        </is>
      </c>
      <c r="B56" s="31" t="inlineStr">
        <is>
          <t>Staff/Assistant 2</t>
        </is>
      </c>
      <c r="C56" s="31" t="inlineStr">
        <is>
          <t>Masked Person 7</t>
        </is>
      </c>
      <c r="D56" s="71" t="n">
        <v>1</v>
      </c>
      <c r="E56" s="71" t="n">
        <v>1</v>
      </c>
      <c r="F56" s="71" t="inlineStr">
        <is>
          <t>Client A</t>
        </is>
      </c>
      <c r="G56" s="71" t="n"/>
    </row>
    <row r="57">
      <c r="A57" t="inlineStr">
        <is>
          <t>Masked Person 31</t>
        </is>
      </c>
      <c r="B57" s="31" t="inlineStr">
        <is>
          <t>Staff/Assistant 2</t>
        </is>
      </c>
      <c r="C57" s="31" t="inlineStr">
        <is>
          <t>Masked Person 11</t>
        </is>
      </c>
      <c r="D57" s="71" t="n">
        <v>1</v>
      </c>
      <c r="E57" s="71" t="n">
        <v>1</v>
      </c>
      <c r="F57" s="71" t="inlineStr">
        <is>
          <t>Client B</t>
        </is>
      </c>
      <c r="G57" s="71" t="n"/>
    </row>
    <row r="58">
      <c r="A58" t="inlineStr">
        <is>
          <t>Masked Person 87</t>
        </is>
      </c>
      <c r="B58" s="31" t="inlineStr">
        <is>
          <t>Staff/Assistant 2</t>
        </is>
      </c>
      <c r="C58" s="31" t="inlineStr">
        <is>
          <t>Masked Person 55</t>
        </is>
      </c>
      <c r="D58" s="71" t="n">
        <v>1</v>
      </c>
      <c r="E58" s="71" t="n">
        <v>1</v>
      </c>
      <c r="F58" s="71" t="inlineStr">
        <is>
          <t>Client A</t>
        </is>
      </c>
      <c r="G58" s="71" t="n"/>
    </row>
    <row r="59">
      <c r="A59" t="inlineStr">
        <is>
          <t>Masked Person 7</t>
        </is>
      </c>
      <c r="B59" s="31" t="inlineStr">
        <is>
          <t>Manager 3</t>
        </is>
      </c>
      <c r="C59" s="31" t="inlineStr">
        <is>
          <t>Masked Person 37</t>
        </is>
      </c>
      <c r="D59" s="71" t="n">
        <v>1</v>
      </c>
      <c r="E59" s="78" t="n">
        <v>0.5</v>
      </c>
      <c r="F59" s="71" t="inlineStr">
        <is>
          <t>Sep-Jan27, 50% Client B</t>
        </is>
      </c>
      <c r="G59" s="71" t="n"/>
    </row>
    <row r="60">
      <c r="A60" t="inlineStr">
        <is>
          <t>Masked Person 72</t>
        </is>
      </c>
      <c r="B60" s="31" t="inlineStr">
        <is>
          <t>Staff/Assistant 2</t>
        </is>
      </c>
      <c r="C60" s="31" t="inlineStr">
        <is>
          <t>Masked Person 20</t>
        </is>
      </c>
      <c r="D60" s="71" t="n">
        <v>1</v>
      </c>
      <c r="E60" s="71" t="n">
        <v>1</v>
      </c>
      <c r="F60" s="71" t="inlineStr">
        <is>
          <t>Client A &amp; Client C</t>
        </is>
      </c>
      <c r="G60" s="71" t="n"/>
    </row>
    <row r="61">
      <c r="A61" t="inlineStr">
        <is>
          <t>Masked Person 2</t>
        </is>
      </c>
      <c r="B61" s="31" t="inlineStr">
        <is>
          <t>Intern (CS) 1</t>
        </is>
      </c>
      <c r="C61" s="31" t="inlineStr">
        <is>
          <t>-</t>
        </is>
      </c>
      <c r="D61" s="71" t="n">
        <v>1</v>
      </c>
      <c r="E61" s="78" t="n">
        <v>0</v>
      </c>
      <c r="F61" s="92" t="inlineStr">
        <is>
          <t>Internship ending 7Aug</t>
        </is>
      </c>
      <c r="G61" s="71" t="n"/>
    </row>
    <row r="62">
      <c r="A62" t="inlineStr">
        <is>
          <t>Masked Person 3</t>
        </is>
      </c>
      <c r="B62" s="31" t="inlineStr">
        <is>
          <t>Senior 3</t>
        </is>
      </c>
      <c r="C62" s="31" t="inlineStr">
        <is>
          <t>Masked Person 20</t>
        </is>
      </c>
      <c r="D62" s="71" t="n">
        <v>1</v>
      </c>
      <c r="E62" s="71" t="n">
        <v>1</v>
      </c>
      <c r="F62" s="71" t="inlineStr">
        <is>
          <t>Client A</t>
        </is>
      </c>
      <c r="G62" s="71" t="n"/>
    </row>
    <row r="63">
      <c r="A63" t="inlineStr">
        <is>
          <t>Masked Person 80</t>
        </is>
      </c>
      <c r="B63" s="31" t="inlineStr">
        <is>
          <t>Staff/Assistant 1</t>
        </is>
      </c>
      <c r="C63" s="31" t="inlineStr">
        <is>
          <t>Masked Person 7</t>
        </is>
      </c>
      <c r="D63" s="71" t="n">
        <v>1</v>
      </c>
      <c r="E63" s="71" t="n">
        <v>1</v>
      </c>
      <c r="F63" s="71" t="inlineStr">
        <is>
          <t>Client A</t>
        </is>
      </c>
      <c r="G63" s="71" t="n"/>
    </row>
    <row r="64">
      <c r="A64" t="inlineStr">
        <is>
          <t>Masked Person 49</t>
        </is>
      </c>
      <c r="B64" s="31" t="inlineStr">
        <is>
          <t>Intern (CS) 1</t>
        </is>
      </c>
      <c r="C64" s="31" t="inlineStr">
        <is>
          <t>Masked Person 1</t>
        </is>
      </c>
      <c r="D64" s="71" t="n">
        <v>1</v>
      </c>
      <c r="E64" s="71" t="n">
        <v>1</v>
      </c>
      <c r="F64" s="71" t="inlineStr">
        <is>
          <t>Client A</t>
        </is>
      </c>
      <c r="G64" s="71" t="n"/>
    </row>
    <row r="65">
      <c r="A65" t="inlineStr">
        <is>
          <t>Masked Person 41</t>
        </is>
      </c>
      <c r="B65" s="31" t="inlineStr">
        <is>
          <t>Intern (CS) 1</t>
        </is>
      </c>
      <c r="C65" s="31" t="inlineStr">
        <is>
          <t>-</t>
        </is>
      </c>
      <c r="D65" s="71" t="n">
        <v>0</v>
      </c>
      <c r="E65" s="78" t="n">
        <v>0</v>
      </c>
      <c r="F65" s="71" t="inlineStr">
        <is>
          <t>Currently working on BD for Client H. Pending for Client D, Internship ending in Dec</t>
        </is>
      </c>
      <c r="G65" s="71" t="n"/>
    </row>
    <row r="66"/>
    <row r="67">
      <c r="A67" s="64" t="inlineStr">
        <is>
          <t>Applied filters:
ASEAN is Core
 Country  is SG Singapore
Included (1) Technology Consulting (Sub-Service line) + AI and Data (Competency Filter)
Rank is not Partner/Principal
 Employee type  is Current employee
Rank is not Client Serving Contractor, Senior Associate, Associate, Supervising Associate, or Assistant Director
 Country  is not (Blank), LA Laos, or LK Sri Lanka</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codeName="Sheet2" filterMode="1">
    <outlinePr summaryBelow="1" summaryRight="1"/>
    <pageSetUpPr/>
  </sheetPr>
  <dimension ref="A1:AL185"/>
  <sheetViews>
    <sheetView zoomScaleNormal="100" workbookViewId="0">
      <pane xSplit="1" ySplit="1" topLeftCell="B64" activePane="bottomRight" state="frozen"/>
      <selection pane="topRight" activeCell="B1" sqref="B1"/>
      <selection pane="bottomLeft" activeCell="A2" sqref="A2"/>
      <selection pane="bottomRight" activeCell="A2" sqref="A2:A71"/>
    </sheetView>
  </sheetViews>
  <sheetFormatPr baseColWidth="8" defaultColWidth="8.7265625" defaultRowHeight="43.5" customHeight="1"/>
  <cols>
    <col width="29.453125" customWidth="1" style="350" min="1" max="1"/>
    <col width="13.453125" bestFit="1" customWidth="1" style="350" min="2" max="2"/>
    <col width="21.81640625" customWidth="1" style="350" min="3" max="3"/>
    <col width="28.1796875" customWidth="1" style="350" min="4" max="4"/>
    <col width="9.81640625" customWidth="1" style="350" min="5" max="5"/>
    <col width="10.81640625" customWidth="1" style="350" min="6" max="6"/>
    <col width="11.54296875" customWidth="1" style="350" min="7" max="7"/>
    <col width="8.7265625" customWidth="1" style="350" min="8" max="12"/>
    <col width="7.7265625" customWidth="1" style="350" min="13" max="13"/>
    <col width="7.54296875" customWidth="1" style="350" min="14" max="14"/>
    <col width="52" customWidth="1" style="122" min="15" max="15"/>
    <col width="7.1796875" customWidth="1" style="350" min="16" max="16"/>
    <col width="34.54296875" customWidth="1" style="33" min="17" max="20"/>
    <col hidden="1" width="31.54296875" customWidth="1" style="36" min="21" max="21"/>
    <col hidden="1" width="12.54296875" customWidth="1" style="36" min="22" max="22"/>
    <col width="33" customWidth="1" style="350" min="23" max="23"/>
    <col width="11.7265625" customWidth="1" style="350" min="24" max="24"/>
    <col width="29.81640625" customWidth="1" style="350" min="25" max="25"/>
    <col width="64.26953125" customWidth="1" style="350" min="26" max="27"/>
    <col hidden="1" width="15.453125" customWidth="1" style="350" min="28" max="28"/>
    <col hidden="1" width="15.7265625" customWidth="1" style="350" min="29" max="29"/>
    <col hidden="1" width="29.26953125" customWidth="1" style="350" min="30" max="30"/>
    <col hidden="1" width="39.1796875" customWidth="1" style="350" min="31" max="31"/>
    <col hidden="1" width="23.81640625" customWidth="1" style="350" min="32" max="32"/>
    <col hidden="1" width="20.453125" customWidth="1" style="350" min="33" max="33"/>
    <col hidden="1" width="25.453125" customWidth="1" style="350" min="34" max="34"/>
    <col hidden="1" width="30.7265625" customWidth="1" style="350" min="35" max="35"/>
    <col width="43.7265625" customWidth="1" style="350" min="36" max="36"/>
    <col width="79.54296875" bestFit="1" customWidth="1" style="350" min="37" max="37"/>
    <col width="27" customWidth="1" style="350" min="38" max="38"/>
  </cols>
  <sheetData>
    <row r="1" ht="43.5" customFormat="1" customHeight="1" s="2">
      <c r="A1" s="3" t="inlineStr">
        <is>
          <t>Employee name</t>
        </is>
      </c>
      <c r="B1" s="3" t="inlineStr">
        <is>
          <t>Gender</t>
        </is>
      </c>
      <c r="C1" s="3" t="inlineStr">
        <is>
          <t>Rank and Grade</t>
        </is>
      </c>
      <c r="D1" s="3" t="inlineStr">
        <is>
          <t>Bench Category Column</t>
        </is>
      </c>
      <c r="E1" s="3" t="inlineStr">
        <is>
          <t>6 Weeks Forecast</t>
        </is>
      </c>
      <c r="F1" s="3" t="inlineStr">
        <is>
          <t>12 Weeks Forecast</t>
        </is>
      </c>
      <c r="G1" s="3" t="inlineStr">
        <is>
          <t>Current Week Forecast</t>
        </is>
      </c>
      <c r="H1" s="3" t="inlineStr">
        <is>
          <t>WC 9 Sep 2026</t>
        </is>
      </c>
      <c r="I1" s="3" t="inlineStr">
        <is>
          <t>WC 16 Sep 2026</t>
        </is>
      </c>
      <c r="J1" s="3" t="inlineStr">
        <is>
          <t>WC 23 Sep 2026</t>
        </is>
      </c>
      <c r="K1" s="3" t="inlineStr">
        <is>
          <t>WC 30 Sep 2026</t>
        </is>
      </c>
      <c r="L1" s="3" t="inlineStr">
        <is>
          <t>WC 7 Oct 2026</t>
        </is>
      </c>
      <c r="M1" s="3" t="inlineStr">
        <is>
          <t>WC 14 Oct 2026</t>
        </is>
      </c>
      <c r="N1" s="3" t="inlineStr">
        <is>
          <t>WC 21 Oct 2026</t>
        </is>
      </c>
      <c r="O1" s="128" t="inlineStr">
        <is>
          <t>Allocation Remarks</t>
        </is>
      </c>
      <c r="P1" s="4" t="inlineStr">
        <is>
          <t>Bench/Partial Bench (Profinda)</t>
        </is>
      </c>
      <c r="Q1" s="109" t="inlineStr">
        <is>
          <t>% Availablity (1mth)</t>
        </is>
      </c>
      <c r="R1" s="109" t="inlineStr">
        <is>
          <t>% Availablity (2mth)</t>
        </is>
      </c>
      <c r="S1" s="109" t="inlineStr">
        <is>
          <t>% Availablity (3mth)</t>
        </is>
      </c>
      <c r="T1" s="109" t="inlineStr">
        <is>
          <t>% Availablity (6mth)</t>
        </is>
      </c>
      <c r="U1" s="108" t="inlineStr">
        <is>
          <t>% Availablity 6mth onwards (Outdated)</t>
        </is>
      </c>
      <c r="V1" s="4" t="inlineStr">
        <is>
          <t>End date</t>
        </is>
      </c>
      <c r="W1" s="5" t="inlineStr">
        <is>
          <t>Nationality</t>
        </is>
      </c>
      <c r="X1" s="5" t="inlineStr">
        <is>
          <t>Previous/Existing Project Roles</t>
        </is>
      </c>
      <c r="Y1" s="5" t="inlineStr">
        <is>
          <t>Primary Skillset (Platform)</t>
        </is>
      </c>
      <c r="Z1" s="6" t="inlineStr">
        <is>
          <t>Secondary Skillset</t>
        </is>
      </c>
      <c r="AA1" s="6" t="inlineStr">
        <is>
          <t>Combined Bucket Skillset</t>
        </is>
      </c>
      <c r="AB1" s="97" t="inlineStr">
        <is>
          <t>Data Engineering</t>
        </is>
      </c>
      <c r="AC1" s="97" t="inlineStr">
        <is>
          <t>Data Architecture</t>
        </is>
      </c>
      <c r="AD1" s="97" t="inlineStr">
        <is>
          <t>Business Intelligence &amp; Analytics</t>
        </is>
      </c>
      <c r="AE1" s="97" t="inlineStr">
        <is>
          <t>Artificial Intelligence (AI) &amp; Machine Learning</t>
        </is>
      </c>
      <c r="AF1" s="97" t="inlineStr">
        <is>
          <t>Data Governance &amp; Quality</t>
        </is>
      </c>
      <c r="AG1" s="97" t="inlineStr">
        <is>
          <t>Data Security &amp; Privacy</t>
        </is>
      </c>
      <c r="AH1" s="97" t="inlineStr">
        <is>
          <t>Data Strategy &amp; Management</t>
        </is>
      </c>
      <c r="AI1" s="97" t="inlineStr">
        <is>
          <t>Cloud Data Platforms &amp; Operations</t>
        </is>
      </c>
      <c r="AJ1" s="5" t="inlineStr">
        <is>
          <t>Aspiring roles</t>
        </is>
      </c>
      <c r="AK1" s="7" t="inlineStr">
        <is>
          <t>Current Engagement</t>
        </is>
      </c>
      <c r="AL1" s="7" t="inlineStr">
        <is>
          <t>EM</t>
        </is>
      </c>
    </row>
    <row r="2" ht="15" customHeight="1" s="350">
      <c r="A2" t="inlineStr">
        <is>
          <t>Masked Person 3</t>
        </is>
      </c>
      <c r="B2" t="inlineStr">
        <is>
          <t>Male</t>
        </is>
      </c>
      <c r="C2" t="inlineStr">
        <is>
          <t>Senior 3</t>
        </is>
      </c>
      <c r="D2" t="inlineStr">
        <is>
          <t>Coming on bench in 23 week(s)</t>
        </is>
      </c>
      <c r="E2" s="14" t="n">
        <v>1</v>
      </c>
      <c r="F2" s="14" t="n">
        <v>1</v>
      </c>
      <c r="G2" s="14" t="n">
        <v>1</v>
      </c>
      <c r="H2" s="14" t="n">
        <v>1</v>
      </c>
      <c r="I2" s="14" t="n">
        <v>1</v>
      </c>
      <c r="J2" s="14" t="n">
        <v>1</v>
      </c>
      <c r="K2" s="14" t="n">
        <v>1</v>
      </c>
      <c r="L2" s="14" t="n">
        <v>1</v>
      </c>
      <c r="M2" s="14" t="n">
        <v>1</v>
      </c>
      <c r="N2" s="14" t="n">
        <v>1</v>
      </c>
      <c r="O2" s="41" t="inlineStr">
        <is>
          <t>Jan 2027 - None
Jul - Dec 2026 - Client A M&amp;S 100%
Jan - Dec 2026 - Client A 100%</t>
        </is>
      </c>
      <c r="P2" s="2">
        <f>IF($G2&gt;=100%,"NA",IF(G2=0%,"Bench","Partial Bench"))</f>
        <v/>
      </c>
      <c r="Q2" s="153" t="n">
        <v>0</v>
      </c>
      <c r="R2" s="153" t="n">
        <v>0</v>
      </c>
      <c r="S2" s="153" t="n">
        <v>0</v>
      </c>
      <c r="T2" s="153" t="n">
        <v>0</v>
      </c>
      <c r="U2" s="34" t="n">
        <v>1</v>
      </c>
      <c r="V2" s="40" t="inlineStr">
        <is>
          <t>12/31/2026</t>
        </is>
      </c>
      <c r="W2" s="15" t="inlineStr">
        <is>
          <t>Singaporean</t>
        </is>
      </c>
      <c r="X2" s="15" t="inlineStr">
        <is>
          <t>Data Engineer</t>
        </is>
      </c>
      <c r="Y2" s="8" t="inlineStr">
        <is>
          <t>Terraform, Python, Script</t>
        </is>
      </c>
      <c r="Z2" s="15" t="inlineStr">
        <is>
          <t>GenAI Engineering</t>
        </is>
      </c>
      <c r="AA2" s="41">
        <f t="array" ref="AA2">_xlfn.TEXTJOIN(", ",TRUE,_xlfn._xlws.FILTER($AB$1:$AI$1,$AB2:$AI2="Yes"))</f>
        <v/>
      </c>
      <c r="AB2" s="27" t="inlineStr">
        <is>
          <t>Yes</t>
        </is>
      </c>
      <c r="AC2" s="15" t="n"/>
      <c r="AD2" s="15" t="n"/>
      <c r="AE2" s="27" t="inlineStr">
        <is>
          <t>Yes</t>
        </is>
      </c>
      <c r="AF2" s="15" t="n"/>
      <c r="AG2" s="15" t="n"/>
      <c r="AH2" s="15" t="n"/>
      <c r="AI2" s="27" t="inlineStr">
        <is>
          <t>Yes</t>
        </is>
      </c>
      <c r="AJ2" s="16" t="inlineStr">
        <is>
          <t>Cloud Engineer and GenAI Engineer
GenAI Engineering</t>
        </is>
      </c>
      <c r="AK2" s="15" t="inlineStr">
        <is>
          <t>Client A - Platform A1 Maintenance Phase 1 &amp;2 - ENG-003</t>
        </is>
      </c>
      <c r="AL2" t="inlineStr">
        <is>
          <t>Masked Person 1</t>
        </is>
      </c>
    </row>
    <row r="3" ht="15" customHeight="1" s="350">
      <c r="A3" t="inlineStr">
        <is>
          <t>Masked Person 4</t>
        </is>
      </c>
      <c r="B3" t="inlineStr">
        <is>
          <t>Female</t>
        </is>
      </c>
      <c r="C3" t="inlineStr">
        <is>
          <t>Senior 1</t>
        </is>
      </c>
      <c r="D3" t="inlineStr">
        <is>
          <t>Coming on bench in 2 week(s)</t>
        </is>
      </c>
      <c r="E3" s="14" t="n">
        <v>0.266666666666667</v>
      </c>
      <c r="F3" s="14" t="n">
        <v>0.133333333333333</v>
      </c>
      <c r="G3" s="14" t="n">
        <v>1</v>
      </c>
      <c r="H3" s="14" t="n">
        <v>1</v>
      </c>
      <c r="I3" s="14" t="n">
        <v>0.6</v>
      </c>
      <c r="J3" s="14" t="n">
        <v>0</v>
      </c>
      <c r="K3" s="14" t="n">
        <v>0</v>
      </c>
      <c r="L3" s="14" t="n">
        <v>0</v>
      </c>
      <c r="M3" s="14" t="n">
        <v>0</v>
      </c>
      <c r="N3" s="14" t="n">
        <v>0</v>
      </c>
      <c r="O3" s="41" t="inlineStr">
        <is>
          <t>100% on Client G till 30Nov26</t>
        </is>
      </c>
      <c r="P3" s="2">
        <f>IF($G3&gt;=100%,"NA",IF(G3=0%,"Bench","Partial Bench"))</f>
        <v/>
      </c>
      <c r="Q3" s="153" t="n">
        <v>0</v>
      </c>
      <c r="R3" s="153" t="n">
        <v>0</v>
      </c>
      <c r="S3" s="153" t="n">
        <v>0</v>
      </c>
      <c r="T3" s="153" t="n">
        <v>1</v>
      </c>
      <c r="U3" s="35" t="n"/>
      <c r="V3" s="40" t="n"/>
      <c r="W3" t="inlineStr">
        <is>
          <t>EP</t>
        </is>
      </c>
      <c r="AA3" s="41">
        <f t="array" ref="AA3">_xlfn.TEXTJOIN(", ",TRUE,_xlfn._xlws.FILTER($AB$1:$AI$1,$AB3:$AI3="Yes"))</f>
        <v/>
      </c>
      <c r="AB3" s="25" t="n"/>
      <c r="AD3" s="25" t="inlineStr">
        <is>
          <t>Yes</t>
        </is>
      </c>
      <c r="AK3" s="15" t="inlineStr">
        <is>
          <t>Client G S/4HANA Implementation - ENG-016</t>
        </is>
      </c>
      <c r="AL3" t="inlineStr">
        <is>
          <t>Masked Person 37</t>
        </is>
      </c>
    </row>
    <row r="4" ht="15" customHeight="1" s="350">
      <c r="A4" t="inlineStr">
        <is>
          <t>Masked Person 5</t>
        </is>
      </c>
      <c r="B4" t="inlineStr">
        <is>
          <t>Female</t>
        </is>
      </c>
      <c r="C4" t="inlineStr">
        <is>
          <t>Senior 1</t>
        </is>
      </c>
      <c r="D4" t="inlineStr">
        <is>
          <t>Benching for 10 week(s)</t>
        </is>
      </c>
      <c r="E4" s="14" t="n">
        <v>0</v>
      </c>
      <c r="F4" s="14" t="n">
        <v>0</v>
      </c>
      <c r="G4" s="14" t="n">
        <v>0</v>
      </c>
      <c r="H4" s="14" t="n">
        <v>0</v>
      </c>
      <c r="I4" s="14" t="n">
        <v>0</v>
      </c>
      <c r="J4" s="14" t="n">
        <v>0</v>
      </c>
      <c r="K4" s="14" t="n">
        <v>0</v>
      </c>
      <c r="L4" s="14" t="n">
        <v>0</v>
      </c>
      <c r="M4" s="14" t="n">
        <v>0</v>
      </c>
      <c r="N4" s="14" t="n">
        <v>0</v>
      </c>
      <c r="O4" s="41" t="inlineStr">
        <is>
          <t>On bench, helping BD</t>
        </is>
      </c>
      <c r="P4" s="2">
        <f>IF($G4&gt;=100%,"NA",IF(G4=0%,"Bench","Partial Bench"))</f>
        <v/>
      </c>
      <c r="Q4" s="153" t="n">
        <v>1</v>
      </c>
      <c r="R4" s="153" t="n">
        <v>1</v>
      </c>
      <c r="S4" s="153" t="n">
        <v>1</v>
      </c>
      <c r="T4" s="153" t="n">
        <v>1</v>
      </c>
      <c r="U4" s="32" t="n">
        <v>0</v>
      </c>
      <c r="V4" s="40" t="inlineStr">
        <is>
          <t>6/19/2026</t>
        </is>
      </c>
      <c r="W4" t="inlineStr">
        <is>
          <t>Singaporean</t>
        </is>
      </c>
      <c r="X4" s="15" t="inlineStr">
        <is>
          <t>Data Analyst</t>
        </is>
      </c>
      <c r="Y4" s="23" t="inlineStr">
        <is>
          <t>Aws 
Qlik sense</t>
        </is>
      </c>
      <c r="Z4" s="16" t="inlineStr">
        <is>
          <t>Qlik sense
SQL</t>
        </is>
      </c>
      <c r="AA4" s="41">
        <f t="array" ref="AA4">_xlfn.TEXTJOIN(", ",TRUE,_xlfn._xlws.FILTER($AB$1:$AI$1,$AB4:$AI4="Yes"))</f>
        <v/>
      </c>
      <c r="AB4" s="26" t="inlineStr">
        <is>
          <t>Yes</t>
        </is>
      </c>
      <c r="AC4" s="16" t="n"/>
      <c r="AD4" s="26" t="inlineStr">
        <is>
          <t>Yes</t>
        </is>
      </c>
      <c r="AE4" s="16" t="n"/>
      <c r="AF4" s="16" t="n"/>
      <c r="AG4" s="16" t="n"/>
      <c r="AH4" s="16" t="n"/>
      <c r="AI4" s="16" t="n"/>
      <c r="AJ4" s="16" t="inlineStr">
        <is>
          <t>Data analyst / data engineer
AI and Analytics</t>
        </is>
      </c>
    </row>
    <row r="5" ht="15" customHeight="1" s="350">
      <c r="A5" t="inlineStr">
        <is>
          <t>Masked Person 6</t>
        </is>
      </c>
      <c r="B5" t="inlineStr">
        <is>
          <t>Male</t>
        </is>
      </c>
      <c r="C5" t="inlineStr">
        <is>
          <t>Senior 3</t>
        </is>
      </c>
      <c r="D5" t="inlineStr">
        <is>
          <t>Benching for 2 week(s)</t>
        </is>
      </c>
      <c r="E5" s="14" t="n">
        <v>0</v>
      </c>
      <c r="F5" s="14" t="n">
        <v>0</v>
      </c>
      <c r="G5" s="14" t="n">
        <v>0</v>
      </c>
      <c r="H5" s="14" t="n">
        <v>0</v>
      </c>
      <c r="I5" s="14" t="n">
        <v>0</v>
      </c>
      <c r="J5" s="14" t="n">
        <v>0</v>
      </c>
      <c r="K5" s="14" t="n">
        <v>0</v>
      </c>
      <c r="L5" s="14" t="n">
        <v>0</v>
      </c>
      <c r="M5" s="14" t="n">
        <v>0</v>
      </c>
      <c r="N5" s="14" t="n">
        <v>0</v>
      </c>
      <c r="O5" s="110" t="inlineStr">
        <is>
          <t>September 2026 - January 2027 - Client T 100%
August 2026 - August 2026 - Client L 100%
April - End August 2026 - Data Management Strategy Study 100%</t>
        </is>
      </c>
      <c r="P5" s="2">
        <f>IF($G5&gt;=100%,"NA",IF(G5=0%,"Bench","Partial Bench"))</f>
        <v/>
      </c>
      <c r="Q5" s="153" t="n">
        <v>0</v>
      </c>
      <c r="R5" s="153" t="n">
        <v>0</v>
      </c>
      <c r="S5" s="153" t="n">
        <v>0</v>
      </c>
      <c r="T5" s="153" t="n">
        <v>0</v>
      </c>
      <c r="V5" s="40" t="n">
        <v>46265</v>
      </c>
      <c r="W5" s="15" t="inlineStr">
        <is>
          <t>Singaporean</t>
        </is>
      </c>
      <c r="X5" s="16" t="inlineStr">
        <is>
          <t>Project Lead, Data Scientist
Business Analyst</t>
        </is>
      </c>
      <c r="Y5" s="16" t="inlineStr">
        <is>
          <t>Project Management, SQL, Python, Power BI
Python, T-SQL, MySQL, Unix, PowerBI, QlikSense, Tableau, SQL Server, Power Automate, Excel, Powerpoint</t>
        </is>
      </c>
      <c r="Z5" s="16" t="inlineStr">
        <is>
          <t>Qliksense, Azure
PySpark, Azure Snowflake, SSIS</t>
        </is>
      </c>
      <c r="AA5" s="41">
        <f t="array" ref="AA5">_xlfn.TEXTJOIN(", ",TRUE,_xlfn._xlws.FILTER($AB$1:$AI$1,$AB5:$AI5="Yes"))</f>
        <v/>
      </c>
      <c r="AB5" s="26" t="inlineStr">
        <is>
          <t>Yes</t>
        </is>
      </c>
      <c r="AC5" s="16" t="n"/>
      <c r="AD5" s="26" t="inlineStr">
        <is>
          <t>Yes</t>
        </is>
      </c>
      <c r="AE5" s="16" t="n"/>
      <c r="AF5" s="16" t="n"/>
      <c r="AG5" s="16" t="n"/>
      <c r="AH5" s="16" t="n"/>
      <c r="AI5" s="16" t="n"/>
      <c r="AJ5" s="15" t="inlineStr">
        <is>
          <t>Project Manager</t>
        </is>
      </c>
      <c r="AK5" t="inlineStr">
        <is>
          <t>Data Management Strategy Study</t>
        </is>
      </c>
      <c r="AL5" t="inlineStr">
        <is>
          <t>Masked Person 65</t>
        </is>
      </c>
    </row>
    <row r="6" ht="15" customHeight="1" s="350">
      <c r="A6" t="inlineStr">
        <is>
          <t>Masked Person 7</t>
        </is>
      </c>
      <c r="B6" t="inlineStr">
        <is>
          <t>Female</t>
        </is>
      </c>
      <c r="C6" t="inlineStr">
        <is>
          <t>Manager 3</t>
        </is>
      </c>
      <c r="D6" t="inlineStr">
        <is>
          <t>Coming on bench in 7 week(s)</t>
        </is>
      </c>
      <c r="E6" s="14" t="n">
        <v>1</v>
      </c>
      <c r="F6" s="14" t="n">
        <v>0.5</v>
      </c>
      <c r="G6" s="14" t="n">
        <v>1</v>
      </c>
      <c r="H6" s="14" t="n">
        <v>1</v>
      </c>
      <c r="I6" s="14" t="n">
        <v>1</v>
      </c>
      <c r="J6" s="14" t="n">
        <v>1</v>
      </c>
      <c r="K6" s="14" t="n">
        <v>1</v>
      </c>
      <c r="L6" s="14" t="n">
        <v>1</v>
      </c>
      <c r="M6" s="14" t="n">
        <v>1</v>
      </c>
      <c r="N6" s="14" t="n">
        <v>0</v>
      </c>
      <c r="O6" s="41" t="inlineStr">
        <is>
          <t>Jul - Aug 2026 - 80% Client A 20% Client B
Sep 2026 - Jan 2027 onwards - 50% Client B</t>
        </is>
      </c>
      <c r="P6" s="2">
        <f>IF($G6&gt;=100%,"NA",IF(G6=0%,"Bench","Partial Bench"))</f>
        <v/>
      </c>
      <c r="Q6" s="153" t="n">
        <v>0</v>
      </c>
      <c r="R6" s="153" t="n">
        <v>0.5</v>
      </c>
      <c r="S6" s="153" t="n">
        <v>0.5</v>
      </c>
      <c r="T6" s="153" t="n">
        <v>0.5</v>
      </c>
      <c r="U6" s="35" t="inlineStr">
        <is>
          <t>50% Sep onwards</t>
        </is>
      </c>
      <c r="V6" s="40" t="n"/>
      <c r="W6" s="15" t="inlineStr">
        <is>
          <t>PR</t>
        </is>
      </c>
      <c r="X6" s="15" t="inlineStr">
        <is>
          <t>Data Engineer, Analyst, Data Engineer, Service Lead, SCRUM Master</t>
        </is>
      </c>
      <c r="Y6" s="15" t="inlineStr">
        <is>
          <t>PostgreSQL, Microsoft SQL, SAS Viya, SAS 9.4, IBM Spectrum LSF, agile, SQL, SAS, SCRUM, Agile Management</t>
        </is>
      </c>
      <c r="Z6" s="15" t="inlineStr">
        <is>
          <t>Linux, Power BI, scrum master, Azure, Cyperquery</t>
        </is>
      </c>
      <c r="AA6" s="41">
        <f t="array" ref="AA6">_xlfn.TEXTJOIN(", ",TRUE,_xlfn._xlws.FILTER($AB$1:$AI$1,$AB6:$AI6="Yes"))</f>
        <v/>
      </c>
      <c r="AB6" s="27" t="inlineStr">
        <is>
          <t>Yes</t>
        </is>
      </c>
      <c r="AC6" s="15" t="n"/>
      <c r="AD6" s="27" t="inlineStr">
        <is>
          <t>Yes</t>
        </is>
      </c>
      <c r="AE6" s="15" t="n"/>
      <c r="AF6" s="15" t="n"/>
      <c r="AG6" s="15" t="n"/>
      <c r="AH6" s="27" t="inlineStr">
        <is>
          <t>Yes</t>
        </is>
      </c>
      <c r="AI6" s="27" t="inlineStr">
        <is>
          <t>Yes</t>
        </is>
      </c>
      <c r="AJ6" s="15" t="inlineStr">
        <is>
          <t>AI Engineer and data scientist, AI/ML Ops Engineer, Cloud Engineer</t>
        </is>
      </c>
      <c r="AK6" s="16" t="inlineStr">
        <is>
          <t>Client A - Platform A1 (GovCloud) - ENG-017
Client B - System B1 SAS Upgrade - 3.5 - ENG-010</t>
        </is>
      </c>
      <c r="AL6" t="inlineStr">
        <is>
          <t>Masked Person 1;
Masked Person 11</t>
        </is>
      </c>
    </row>
    <row r="7" ht="15" customHeight="1" s="350">
      <c r="A7" t="inlineStr">
        <is>
          <t>Masked Person 8</t>
        </is>
      </c>
      <c r="B7" t="inlineStr">
        <is>
          <t>Female</t>
        </is>
      </c>
      <c r="C7" t="inlineStr">
        <is>
          <t>Senior 2</t>
        </is>
      </c>
      <c r="D7" t="inlineStr">
        <is>
          <t>Coming on bench in 15 week(s)</t>
        </is>
      </c>
      <c r="E7" s="14" t="n">
        <v>1.06207</v>
      </c>
      <c r="F7" s="14" t="n">
        <v>1.06207</v>
      </c>
      <c r="G7" s="14" t="n">
        <v>1.06207</v>
      </c>
      <c r="H7" s="14" t="n">
        <v>1.06207</v>
      </c>
      <c r="I7" s="14" t="n">
        <v>1.06207</v>
      </c>
      <c r="J7" s="14" t="n">
        <v>1.06207</v>
      </c>
      <c r="K7" s="14" t="n">
        <v>1.06207</v>
      </c>
      <c r="L7" s="14" t="n">
        <v>1.06207</v>
      </c>
      <c r="M7" s="14" t="n">
        <v>1.06207</v>
      </c>
      <c r="N7" s="14" t="n">
        <v>1.06207</v>
      </c>
      <c r="O7" s="123" t="inlineStr">
        <is>
          <t>Jan - Feb 2027 - Client A 100%</t>
        </is>
      </c>
      <c r="P7" s="2">
        <f>IF($G7&gt;=100%,"NA",IF(G7=0%,"Bench","Partial Bench"))</f>
        <v/>
      </c>
      <c r="Q7" s="153" t="n">
        <v>0</v>
      </c>
      <c r="R7" s="153" t="n">
        <v>0</v>
      </c>
      <c r="S7" s="153" t="n">
        <v>0</v>
      </c>
      <c r="T7" s="153" t="n">
        <v>0</v>
      </c>
      <c r="U7" s="32" t="n"/>
      <c r="V7" s="40" t="n">
        <v>46507</v>
      </c>
      <c r="W7" s="15" t="inlineStr">
        <is>
          <t>PR</t>
        </is>
      </c>
      <c r="X7" s="16" t="inlineStr">
        <is>
          <t>Data Engineer
Business Analyst</t>
        </is>
      </c>
      <c r="Y7" s="16" t="inlineStr">
        <is>
          <t>Azure, Databricks, Spark, Python
Microsoft Azure, Spark, Python, SQL</t>
        </is>
      </c>
      <c r="Z7" s="16" t="inlineStr">
        <is>
          <t>Power BI
AWS, GCP</t>
        </is>
      </c>
      <c r="AA7" s="41">
        <f t="array" ref="AA7">_xlfn.TEXTJOIN(", ",TRUE,_xlfn._xlws.FILTER($AB$1:$AI$1,$AB7:$AI7="Yes"))</f>
        <v/>
      </c>
      <c r="AB7" s="26" t="inlineStr">
        <is>
          <t>Yes</t>
        </is>
      </c>
      <c r="AC7" s="16" t="n"/>
      <c r="AD7" s="26" t="inlineStr">
        <is>
          <t>Yes</t>
        </is>
      </c>
      <c r="AE7" s="16" t="n"/>
      <c r="AF7" s="16" t="n"/>
      <c r="AG7" s="16" t="n"/>
      <c r="AH7" s="16" t="n"/>
      <c r="AI7" s="26" t="inlineStr">
        <is>
          <t>Yes</t>
        </is>
      </c>
      <c r="AJ7" s="16" t="inlineStr">
        <is>
          <t>Data Engineer, Solution Architect
Data Engineer</t>
        </is>
      </c>
      <c r="AK7" s="15" t="inlineStr">
        <is>
          <t>Client A - Platform A1 (GovCloud) - ENG-017</t>
        </is>
      </c>
      <c r="AL7" s="15" t="inlineStr">
        <is>
          <t>Masked Person 1</t>
        </is>
      </c>
    </row>
    <row r="8" ht="15" customHeight="1" s="350">
      <c r="A8" t="inlineStr">
        <is>
          <t>Masked Person 9</t>
        </is>
      </c>
      <c r="B8" t="inlineStr">
        <is>
          <t>Male</t>
        </is>
      </c>
      <c r="C8" t="inlineStr">
        <is>
          <t>Staff/Assistant 2</t>
        </is>
      </c>
      <c r="D8" t="inlineStr">
        <is>
          <t>Benching for 10 week(s)</t>
        </is>
      </c>
      <c r="E8" s="14" t="n">
        <v>0</v>
      </c>
      <c r="F8" s="14" t="n">
        <v>0</v>
      </c>
      <c r="G8" s="14" t="n">
        <v>0</v>
      </c>
      <c r="H8" s="14" t="n">
        <v>0</v>
      </c>
      <c r="I8" s="14" t="n">
        <v>0</v>
      </c>
      <c r="J8" s="14" t="n">
        <v>0</v>
      </c>
      <c r="K8" s="14" t="n">
        <v>0</v>
      </c>
      <c r="L8" s="14" t="n">
        <v>0</v>
      </c>
      <c r="M8" s="14" t="n">
        <v>0</v>
      </c>
      <c r="N8" s="14" t="n">
        <v>0</v>
      </c>
      <c r="O8" s="122" t="inlineStr">
        <is>
          <t>Aug 2026 - Jan 2027 - Client A Platform A1 in GovCloud 100%
Jan - Dec 2026 - Client A 100%
Profile has been submitted for Client AB.</t>
        </is>
      </c>
      <c r="P8" s="2">
        <f>IF($G8&gt;=100%,"NA",IF(G8=0%,"Bench","Partial Bench"))</f>
        <v/>
      </c>
      <c r="Q8" s="153" t="n">
        <v>0</v>
      </c>
      <c r="R8" s="153" t="n">
        <v>0</v>
      </c>
      <c r="S8" s="153" t="n">
        <v>0</v>
      </c>
      <c r="T8" s="153" t="n">
        <v>0</v>
      </c>
      <c r="U8" s="35" t="n"/>
      <c r="V8" s="40" t="n">
        <v>46418</v>
      </c>
      <c r="W8" s="15" t="inlineStr">
        <is>
          <t>Singaporean</t>
        </is>
      </c>
      <c r="X8" t="inlineStr">
        <is>
          <t>Data Governance., Data Analyst, Data Engineer</t>
        </is>
      </c>
      <c r="Y8" t="inlineStr">
        <is>
          <t>Azure, Linux, Python, SQL, ETL</t>
        </is>
      </c>
      <c r="Z8" t="inlineStr">
        <is>
          <t>Hadoop/Give, Pyspark, Collibra, Shell Scripting, Data Quality Management.</t>
        </is>
      </c>
      <c r="AA8" s="41">
        <f t="array" ref="AA8">_xlfn.TEXTJOIN(", ",TRUE,_xlfn._xlws.FILTER($AB$1:$AI$1,$AB8:$AI8="Yes"))</f>
        <v/>
      </c>
      <c r="AB8" s="26" t="inlineStr">
        <is>
          <t>Yes</t>
        </is>
      </c>
      <c r="AJ8" t="inlineStr">
        <is>
          <t>Analytics Engineer / Senior Data Engineer.</t>
        </is>
      </c>
      <c r="AK8" s="15" t="inlineStr">
        <is>
          <t>Client A - Platform A1 in GovCloud - ENG-004</t>
        </is>
      </c>
      <c r="AL8" t="inlineStr">
        <is>
          <t>Masked Person 1</t>
        </is>
      </c>
    </row>
    <row r="9" ht="15" customHeight="1" s="350">
      <c r="A9" t="inlineStr">
        <is>
          <t>Masked Person 10</t>
        </is>
      </c>
      <c r="B9" t="inlineStr">
        <is>
          <t>Female</t>
        </is>
      </c>
      <c r="C9" t="inlineStr">
        <is>
          <t>Staff/Assistant 1</t>
        </is>
      </c>
      <c r="D9" t="inlineStr">
        <is>
          <t>Benching for 7 week(s)</t>
        </is>
      </c>
      <c r="E9" s="14" t="n">
        <v>0</v>
      </c>
      <c r="F9" s="14" t="n">
        <v>0</v>
      </c>
      <c r="G9" s="14" t="n">
        <v>0</v>
      </c>
      <c r="H9" s="14" t="n">
        <v>0</v>
      </c>
      <c r="I9" s="14" t="n">
        <v>0</v>
      </c>
      <c r="J9" s="14" t="n">
        <v>0</v>
      </c>
      <c r="K9" s="14" t="n">
        <v>0</v>
      </c>
      <c r="L9" s="14" t="n">
        <v>0</v>
      </c>
      <c r="M9" s="14" t="n">
        <v>0</v>
      </c>
      <c r="N9" s="14" t="n">
        <v>0</v>
      </c>
      <c r="O9" s="122" t="inlineStr">
        <is>
          <t>Jul - Aug 2027 -Client B 100%</t>
        </is>
      </c>
      <c r="P9" s="2">
        <f>IF($G9&gt;=100%,"NA",IF(G9=0%,"Bench","Partial Bench"))</f>
        <v/>
      </c>
      <c r="Q9" s="153" t="n">
        <v>0</v>
      </c>
      <c r="R9" s="153" t="n">
        <v>0</v>
      </c>
      <c r="S9" s="153" t="n">
        <v>0</v>
      </c>
      <c r="T9" s="153" t="n">
        <v>0</v>
      </c>
      <c r="V9" s="40" t="n"/>
      <c r="W9" s="15" t="inlineStr">
        <is>
          <t>Singaporean</t>
        </is>
      </c>
      <c r="X9" s="15" t="n"/>
      <c r="Y9" s="15" t="n"/>
      <c r="Z9" s="15" t="n"/>
      <c r="AA9" s="41">
        <f t="array" ref="AA9">_xlfn.TEXTJOIN(", ",TRUE,_xlfn._xlws.FILTER($AB$1:$AI$1,$AB9:$AI9="Yes"))</f>
        <v/>
      </c>
      <c r="AB9" s="27" t="inlineStr">
        <is>
          <t>Yes</t>
        </is>
      </c>
      <c r="AC9" s="15" t="n"/>
      <c r="AD9" s="15" t="n"/>
      <c r="AE9" s="15" t="n"/>
      <c r="AF9" s="15" t="n"/>
      <c r="AG9" s="15" t="n"/>
      <c r="AH9" s="15" t="n"/>
      <c r="AI9" s="15" t="n"/>
      <c r="AJ9" s="15" t="n"/>
      <c r="AK9" s="15" t="inlineStr">
        <is>
          <t>Client B - System B1 SAS Upgrade - 3.5 - ENG-010</t>
        </is>
      </c>
      <c r="AL9" t="inlineStr">
        <is>
          <t>Masked Person 11</t>
        </is>
      </c>
    </row>
    <row r="10" ht="15" customHeight="1" s="350">
      <c r="A10" t="inlineStr">
        <is>
          <t>Masked Person 12</t>
        </is>
      </c>
      <c r="B10" t="inlineStr">
        <is>
          <t>Male</t>
        </is>
      </c>
      <c r="C10" t="inlineStr">
        <is>
          <t>Senior 2</t>
        </is>
      </c>
      <c r="D10" t="inlineStr">
        <is>
          <t>Coming on bench in 2 week(s)</t>
        </is>
      </c>
      <c r="E10" s="14" t="n">
        <v>0.270130333333333</v>
      </c>
      <c r="F10" s="14" t="n">
        <v>0.135065166666667</v>
      </c>
      <c r="G10" s="14" t="n">
        <v>1.01299</v>
      </c>
      <c r="H10" s="14" t="n">
        <v>1.01299</v>
      </c>
      <c r="I10" s="14" t="n">
        <v>0.607792</v>
      </c>
      <c r="J10" s="14" t="n">
        <v>0</v>
      </c>
      <c r="K10" s="14" t="n">
        <v>0</v>
      </c>
      <c r="L10" s="14" t="n">
        <v>0</v>
      </c>
      <c r="M10" s="14" t="n">
        <v>0</v>
      </c>
      <c r="N10" s="14" t="n">
        <v>0</v>
      </c>
      <c r="O10" s="110" t="inlineStr">
        <is>
          <t>Client U 1 Oct 26 to 31 Jan 27
On bench (27 Jul) / Pending for Client C 50%</t>
        </is>
      </c>
      <c r="P10" s="2">
        <f>IF($G10&gt;=100%,"NA",IF(G10=0%,"Bench","Partial Bench"))</f>
        <v/>
      </c>
      <c r="Q10" s="153" t="n">
        <v>0</v>
      </c>
      <c r="R10" s="153" t="n">
        <v>0</v>
      </c>
      <c r="S10" s="153" t="n">
        <v>0</v>
      </c>
      <c r="T10" s="153" t="n">
        <v>0</v>
      </c>
      <c r="V10" s="40" t="n"/>
      <c r="W10" s="15" t="inlineStr">
        <is>
          <t>Singaporean</t>
        </is>
      </c>
      <c r="X10" s="15" t="inlineStr">
        <is>
          <t>Tech Lead</t>
        </is>
      </c>
      <c r="Y10" s="15" t="inlineStr">
        <is>
          <t>Azure, Linux, Neo4j GDS, PostgreSQL, Python, MySQL, Hadoop, REACT, Java, HTML, CSS, SQL, Tableau, AWS</t>
        </is>
      </c>
      <c r="Z10" s="15" t="inlineStr">
        <is>
          <t>Power BI, JIRA, GCP, PyTorch, TensorFlow, Scikit-learn, Python, C++, C, Navicat, Kafka, Spring</t>
        </is>
      </c>
      <c r="AA10" s="41">
        <f t="array" ref="AA10">_xlfn.TEXTJOIN(", ",TRUE,_xlfn._xlws.FILTER($AB$1:$AI$1,$AB10:$AI10="Yes"))</f>
        <v/>
      </c>
      <c r="AB10" s="27" t="inlineStr">
        <is>
          <t>Yes</t>
        </is>
      </c>
      <c r="AC10" s="15" t="n"/>
      <c r="AD10" s="15" t="n"/>
      <c r="AE10" s="27" t="inlineStr">
        <is>
          <t>Yes</t>
        </is>
      </c>
      <c r="AF10" s="15" t="n"/>
      <c r="AG10" s="15" t="n"/>
      <c r="AH10" s="15" t="n"/>
      <c r="AI10" s="15" t="n"/>
      <c r="AJ10" s="15" t="inlineStr">
        <is>
          <t>Cloud Platforms, MLOps, AI Engineer - Tech lead</t>
        </is>
      </c>
      <c r="AK10" s="15" t="n"/>
      <c r="AL10" t="inlineStr">
        <is>
          <t>Masked Person 40</t>
        </is>
      </c>
    </row>
    <row r="11" hidden="1" ht="43.5" customHeight="1" s="350">
      <c r="A11" t="inlineStr">
        <is>
          <t>Masked Person 15</t>
        </is>
      </c>
      <c r="B11" t="inlineStr">
        <is>
          <t>Female</t>
        </is>
      </c>
      <c r="C11" t="inlineStr">
        <is>
          <t>Intern (CS) 1</t>
        </is>
      </c>
      <c r="D11" t="inlineStr">
        <is>
          <t>Coming on bench in 2 week(s)</t>
        </is>
      </c>
      <c r="E11" s="14" t="n">
        <v>0.2873775</v>
      </c>
      <c r="F11" s="14" t="n">
        <v>0.14368875</v>
      </c>
      <c r="G11" s="14" t="n">
        <v>1.01207</v>
      </c>
      <c r="H11" s="14" t="n">
        <v>1.01207</v>
      </c>
      <c r="I11" s="14" t="n">
        <v>0.712195</v>
      </c>
      <c r="J11" s="14" t="n">
        <v>0</v>
      </c>
      <c r="K11" s="14" t="n">
        <v>0</v>
      </c>
      <c r="L11" s="14" t="n">
        <v>0</v>
      </c>
      <c r="M11" s="14" t="n">
        <v>0</v>
      </c>
      <c r="N11" s="14" t="n">
        <v>0</v>
      </c>
      <c r="O11" t="inlineStr">
        <is>
          <t>Jul - Aug 2026 - Client I 100%, Sep - Dec 2026 Client J 100%
Jul - Aug 2026 Project I1 100%
internship until 13th November 2026</t>
        </is>
      </c>
      <c r="P11" s="2">
        <f>IF($G11&gt;=100%,"NA",IF(G11=0%,"Bench","Partial Bench"))</f>
        <v/>
      </c>
      <c r="Q11" s="153" t="n">
        <v>1</v>
      </c>
      <c r="R11" s="153" t="n">
        <v>1</v>
      </c>
      <c r="S11" s="153" t="n">
        <v>1</v>
      </c>
      <c r="T11" s="153" t="n">
        <v>1</v>
      </c>
      <c r="U11" s="36" t="n">
        <v>100</v>
      </c>
      <c r="V11" s="40" t="inlineStr">
        <is>
          <t>8/31/2026</t>
        </is>
      </c>
      <c r="W11" t="inlineStr">
        <is>
          <t>EP</t>
        </is>
      </c>
      <c r="X11" t="inlineStr">
        <is>
          <t>Student/Intern</t>
        </is>
      </c>
      <c r="Y11" t="inlineStr">
        <is>
          <t>Power BI</t>
        </is>
      </c>
      <c r="Z11" s="23" t="inlineStr">
        <is>
          <t>Power BI
SQL, Python</t>
        </is>
      </c>
      <c r="AA11" s="41">
        <f t="array" ref="AA11">_xlfn.TEXTJOIN(", ",TRUE,_xlfn._xlws.FILTER($AB$1:$AI$1,$AB11:$AI11="Yes"))</f>
        <v/>
      </c>
      <c r="AB11" s="23" t="n"/>
      <c r="AC11" s="23" t="n"/>
      <c r="AD11" s="98" t="inlineStr">
        <is>
          <t>Yes</t>
        </is>
      </c>
      <c r="AE11" s="23" t="n"/>
      <c r="AF11" s="23" t="n"/>
      <c r="AG11" s="23" t="n"/>
      <c r="AH11" s="23" t="n"/>
      <c r="AI11" s="23" t="n"/>
      <c r="AJ11" s="23" t="inlineStr">
        <is>
          <t>SQL, Python
Business Analyst</t>
        </is>
      </c>
      <c r="AK11" t="inlineStr">
        <is>
          <t>Project I1 100%</t>
        </is>
      </c>
      <c r="AL11" s="15" t="inlineStr">
        <is>
          <t>Masked Person 29</t>
        </is>
      </c>
    </row>
    <row r="12" ht="15" customHeight="1" s="350">
      <c r="A12" t="inlineStr">
        <is>
          <t>Masked Person 18</t>
        </is>
      </c>
      <c r="B12" t="inlineStr">
        <is>
          <t>Female</t>
        </is>
      </c>
      <c r="C12" t="inlineStr">
        <is>
          <t>Staff/Assistant 2</t>
        </is>
      </c>
      <c r="D12" t="inlineStr">
        <is>
          <t>Coming on bench in 2 week(s)</t>
        </is>
      </c>
      <c r="E12" s="14" t="n">
        <v>0.135484</v>
      </c>
      <c r="F12" s="14" t="n">
        <v>0.0677419999999999</v>
      </c>
      <c r="G12" s="14" t="n">
        <v>0.508065</v>
      </c>
      <c r="H12" s="14" t="n">
        <v>0.508065</v>
      </c>
      <c r="I12" s="14" t="n">
        <v>0.304839</v>
      </c>
      <c r="J12" s="14" t="n">
        <v>0</v>
      </c>
      <c r="K12" s="14" t="n">
        <v>0</v>
      </c>
      <c r="L12" s="14" t="n">
        <v>0</v>
      </c>
      <c r="M12" s="14" t="n">
        <v>0</v>
      </c>
      <c r="N12" s="14" t="n">
        <v>0</v>
      </c>
      <c r="O12" s="122" t="inlineStr">
        <is>
          <t>November 2026 - Jan 2027 [unconfirmed] Client H 100%
September - October 2026 - Client E 100%
Aug 2026 - Client A 50%
Aug 2026 - Client E 50%
Jan - 14 Aug 2026 - Client H 100%,
Jul - Oct 2026 - Client E 100%</t>
        </is>
      </c>
      <c r="P12" s="2">
        <f>IF($G12&gt;=100%,"NA",IF(G12=0%,"Bench","Partial Bench"))</f>
        <v/>
      </c>
      <c r="Q12" s="153" t="n">
        <v>0</v>
      </c>
      <c r="R12" s="153" t="n">
        <v>1</v>
      </c>
      <c r="S12" s="153" t="n">
        <v>1</v>
      </c>
      <c r="T12" s="153" t="n">
        <v>1</v>
      </c>
      <c r="U12" s="35" t="n"/>
      <c r="V12" s="40" t="n">
        <v>46326</v>
      </c>
      <c r="W12" s="15" t="inlineStr">
        <is>
          <t>PR</t>
        </is>
      </c>
      <c r="X12" s="16" t="inlineStr">
        <is>
          <t>AI/ML Engineer
AI developer</t>
        </is>
      </c>
      <c r="Y12" s="16" t="inlineStr">
        <is>
          <t>Python, LLM/RAG, Agentic AI, Machine Learning, Deep Learning
Python, TensorFlow, LangChain, Azure, Scikit-Learn, Keras, Streamlit, Flask, FastAPI, FAISS, Qdrant, SQL (MS SQL, MY SQL), ReactJS, Django, SprintBoot, Java</t>
        </is>
      </c>
      <c r="Z12" s="16" t="inlineStr">
        <is>
          <t>Cloud development (Azure, AWS), Fullstack dev, DevOps
Docker, AWS, PostgrSQL, MongoDB, GraphQL, C/C++, Swift / SwiftUI, Android programming</t>
        </is>
      </c>
      <c r="AA12" s="41">
        <f t="array" ref="AA12">_xlfn.TEXTJOIN(", ",TRUE,_xlfn._xlws.FILTER($AB$1:$AI$1,$AB12:$AI12="Yes"))</f>
        <v/>
      </c>
      <c r="AB12" s="26" t="inlineStr">
        <is>
          <t>Yes</t>
        </is>
      </c>
      <c r="AC12" s="16" t="n"/>
      <c r="AD12" s="16" t="n"/>
      <c r="AE12" s="26" t="inlineStr">
        <is>
          <t>Yes</t>
        </is>
      </c>
      <c r="AF12" s="16" t="n"/>
      <c r="AG12" s="16" t="n"/>
      <c r="AH12" s="16" t="n"/>
      <c r="AI12" s="26" t="inlineStr">
        <is>
          <t>Yes</t>
        </is>
      </c>
      <c r="AJ12" s="16" t="inlineStr">
        <is>
          <t>AI/ML Engineer, Data Scientist
Deepen AI skills, Cloud architecture, Devops</t>
        </is>
      </c>
      <c r="AK12" s="16" t="inlineStr">
        <is>
          <t>Client H Project H1 - ENG-020,
HOUSING &amp; DEVELOPMENT BOARD - Client E System E1 Support - ENG-005</t>
        </is>
      </c>
      <c r="AL12" t="inlineStr">
        <is>
          <t>Masked Person 29,
Masked Person 17</t>
        </is>
      </c>
    </row>
    <row r="13" hidden="1" ht="29" customHeight="1" s="350">
      <c r="A13" t="inlineStr">
        <is>
          <t>Masked Person 19</t>
        </is>
      </c>
      <c r="B13" t="inlineStr">
        <is>
          <t>Male</t>
        </is>
      </c>
      <c r="C13" t="inlineStr">
        <is>
          <t>Intern (CS) 1</t>
        </is>
      </c>
      <c r="D13" t="inlineStr">
        <is>
          <t>Coming on bench in 2 week(s)</t>
        </is>
      </c>
      <c r="E13" s="14" t="n">
        <v>0.274359666666667</v>
      </c>
      <c r="F13" s="14" t="n">
        <v>0.137179833333333</v>
      </c>
      <c r="G13" s="14" t="n">
        <v>1.02885</v>
      </c>
      <c r="H13" s="14" t="n">
        <v>1.02885</v>
      </c>
      <c r="I13" s="14" t="n">
        <v>0.617308</v>
      </c>
      <c r="J13" s="14" t="n">
        <v>0</v>
      </c>
      <c r="K13" s="14" t="n">
        <v>0</v>
      </c>
      <c r="L13" s="14" t="n">
        <v>0</v>
      </c>
      <c r="M13" s="14" t="n">
        <v>0</v>
      </c>
      <c r="N13" s="14" t="n">
        <v>0</v>
      </c>
      <c r="O13" s="110" t="inlineStr">
        <is>
          <t>Jul - Aug 2026 Project I1 100%
Intenship until 11 December</t>
        </is>
      </c>
      <c r="P13" s="2">
        <f>IF($G13&gt;=100%,"NA",IF(G13=0%,"Bench","Partial Bench"))</f>
        <v/>
      </c>
      <c r="Q13" s="153" t="n">
        <v>0</v>
      </c>
      <c r="R13" s="153" t="n">
        <v>0</v>
      </c>
      <c r="S13" s="153" t="n">
        <v>0</v>
      </c>
      <c r="T13" s="153" t="n">
        <v>0</v>
      </c>
      <c r="V13" s="40" t="n"/>
      <c r="W13" s="15" t="n"/>
      <c r="X13" s="15" t="inlineStr">
        <is>
          <t>Software Developer</t>
        </is>
      </c>
      <c r="Y13" s="15" t="inlineStr">
        <is>
          <t>JavaScript, React, Node.js, HTML, CSS, REST APIs, Powerpoint, Excel</t>
        </is>
      </c>
      <c r="Z13" s="15" t="inlineStr">
        <is>
          <t>PostgreSQL, Microsoft SQL, Git, Azure/AWS, Docker, GitHub Copilot, Basic DevOps</t>
        </is>
      </c>
      <c r="AA13" s="41">
        <f t="array" ref="AA13">_xlfn.TEXTJOIN(", ",TRUE,_xlfn._xlws.FILTER($AB$1:$AI$1,$AB13:$AI13="Yes"))</f>
        <v/>
      </c>
      <c r="AB13" s="27" t="inlineStr">
        <is>
          <t>Yes</t>
        </is>
      </c>
      <c r="AC13" s="15" t="n"/>
      <c r="AD13" s="27" t="inlineStr">
        <is>
          <t>Yes</t>
        </is>
      </c>
      <c r="AE13" s="15" t="n"/>
      <c r="AF13" s="15" t="n"/>
      <c r="AG13" s="15" t="n"/>
      <c r="AH13" s="15" t="n"/>
      <c r="AI13" s="27" t="inlineStr">
        <is>
          <t>Yes</t>
        </is>
      </c>
      <c r="AJ13" s="15" t="inlineStr">
        <is>
          <t>Full Stack Developer</t>
        </is>
      </c>
      <c r="AK13" t="inlineStr">
        <is>
          <t>Project I1 100%</t>
        </is>
      </c>
      <c r="AL13" s="15" t="inlineStr">
        <is>
          <t>Masked Person 29</t>
        </is>
      </c>
    </row>
    <row r="14" ht="15" customHeight="1" s="350">
      <c r="A14" t="inlineStr">
        <is>
          <t>Masked Person 20</t>
        </is>
      </c>
      <c r="B14" t="inlineStr">
        <is>
          <t>Male</t>
        </is>
      </c>
      <c r="C14" t="inlineStr">
        <is>
          <t>Manager 3</t>
        </is>
      </c>
      <c r="D14" t="inlineStr">
        <is>
          <t>Benching for 7 week(s)</t>
        </is>
      </c>
      <c r="E14" s="14" t="n">
        <v>0</v>
      </c>
      <c r="F14" s="14" t="n">
        <v>0</v>
      </c>
      <c r="G14" s="14" t="n">
        <v>0</v>
      </c>
      <c r="H14" s="14" t="n">
        <v>0</v>
      </c>
      <c r="I14" s="14" t="n">
        <v>0</v>
      </c>
      <c r="J14" s="14" t="n">
        <v>0</v>
      </c>
      <c r="K14" s="14" t="n">
        <v>0</v>
      </c>
      <c r="L14" s="14" t="n">
        <v>0</v>
      </c>
      <c r="M14" s="14" t="n">
        <v>0</v>
      </c>
      <c r="N14" s="14" t="n">
        <v>0</v>
      </c>
      <c r="O14" s="122" t="inlineStr">
        <is>
          <t>Jan - Jul 2027 - Client B 100%</t>
        </is>
      </c>
      <c r="P14" s="2">
        <f>IF($G14&gt;=100%,"NA",IF(G14=0%,"Bench","Partial Bench"))</f>
        <v/>
      </c>
      <c r="Q14" s="153" t="n">
        <v>0</v>
      </c>
      <c r="R14" s="153" t="n">
        <v>0</v>
      </c>
      <c r="S14" s="153" t="n">
        <v>0</v>
      </c>
      <c r="T14" s="153" t="n">
        <v>0</v>
      </c>
      <c r="V14" s="40" t="n"/>
      <c r="W14" s="15" t="inlineStr">
        <is>
          <t>EP</t>
        </is>
      </c>
      <c r="X14" s="15" t="inlineStr">
        <is>
          <t>Tech Lead</t>
        </is>
      </c>
      <c r="Y14" s="15" t="inlineStr">
        <is>
          <t>SAS, SQL, Python, Linux scripting</t>
        </is>
      </c>
      <c r="Z14" s="15" t="inlineStr">
        <is>
          <t>Talend, Informatica, Java, JavaScript</t>
        </is>
      </c>
      <c r="AA14" s="41">
        <f t="array" ref="AA14">_xlfn.TEXTJOIN(", ",TRUE,_xlfn._xlws.FILTER($AB$1:$AI$1,$AB14:$AI14="Yes"))</f>
        <v/>
      </c>
      <c r="AB14" s="27" t="inlineStr">
        <is>
          <t>Yes</t>
        </is>
      </c>
      <c r="AC14" s="15" t="n"/>
      <c r="AD14" s="15" t="n"/>
      <c r="AE14" s="15" t="n"/>
      <c r="AF14" s="15" t="n"/>
      <c r="AG14" s="15" t="n"/>
      <c r="AH14" s="15" t="n"/>
      <c r="AI14" s="15" t="n"/>
      <c r="AJ14" s="15" t="inlineStr">
        <is>
          <t>Technical Lead – Data &amp; Analytics</t>
        </is>
      </c>
      <c r="AK14" s="15" t="inlineStr">
        <is>
          <t>Client B - System B1 SAS Upgrade - 3.5 - ENG-010</t>
        </is>
      </c>
      <c r="AL14" t="inlineStr">
        <is>
          <t>Masked Person 11</t>
        </is>
      </c>
    </row>
    <row r="15" ht="15" customHeight="1" s="350">
      <c r="A15" t="inlineStr">
        <is>
          <t>Masked Person 22</t>
        </is>
      </c>
      <c r="B15" t="inlineStr">
        <is>
          <t>Female</t>
        </is>
      </c>
      <c r="C15" t="inlineStr">
        <is>
          <t>Senior 1</t>
        </is>
      </c>
      <c r="D15" t="inlineStr">
        <is>
          <t>Coming on bench in 15 week(s)</t>
        </is>
      </c>
      <c r="E15" s="14" t="n">
        <v>1</v>
      </c>
      <c r="F15" s="14" t="n">
        <v>1.05294083333333</v>
      </c>
      <c r="G15" s="14" t="n">
        <v>1</v>
      </c>
      <c r="H15" s="14" t="n">
        <v>1</v>
      </c>
      <c r="I15" s="14" t="n">
        <v>1</v>
      </c>
      <c r="J15" s="14" t="n">
        <v>1</v>
      </c>
      <c r="K15" s="14" t="n">
        <v>1</v>
      </c>
      <c r="L15" s="14" t="n">
        <v>1</v>
      </c>
      <c r="M15" s="14" t="n">
        <v>1</v>
      </c>
      <c r="N15" s="14" t="n">
        <v>1</v>
      </c>
      <c r="O15" s="123" t="inlineStr">
        <is>
          <t>Jan - Jan 2027 - Client D 100%</t>
        </is>
      </c>
      <c r="P15" s="2">
        <f>IF($G15&gt;=100%,"NA",IF(G15=0%,"Bench","Partial Bench"))</f>
        <v/>
      </c>
      <c r="Q15" s="153" t="n">
        <v>0</v>
      </c>
      <c r="R15" s="153" t="n">
        <v>0</v>
      </c>
      <c r="S15" s="153" t="n">
        <v>0</v>
      </c>
      <c r="T15" s="153" t="n">
        <v>0</v>
      </c>
      <c r="U15" s="32" t="n">
        <v>0</v>
      </c>
      <c r="V15" s="40" t="n"/>
      <c r="W15" s="15" t="inlineStr">
        <is>
          <t>EP</t>
        </is>
      </c>
      <c r="X15" s="15" t="inlineStr">
        <is>
          <t>Data Engineer</t>
        </is>
      </c>
      <c r="Y15" s="15" t="inlineStr">
        <is>
          <t>SAS, Python, SQL, Microsoft Power BI</t>
        </is>
      </c>
      <c r="Z15" s="15" t="inlineStr">
        <is>
          <t>Generative AI, Machine Learning, Artificial Intelligence, Java</t>
        </is>
      </c>
      <c r="AA15" s="41">
        <f t="array" ref="AA15">_xlfn.TEXTJOIN(", ",TRUE,_xlfn._xlws.FILTER($AB$1:$AI$1,$AB15:$AI15="Yes"))</f>
        <v/>
      </c>
      <c r="AB15" s="27" t="inlineStr">
        <is>
          <t>Yes</t>
        </is>
      </c>
      <c r="AC15" s="15" t="n"/>
      <c r="AD15" s="27" t="inlineStr">
        <is>
          <t>Yes</t>
        </is>
      </c>
      <c r="AE15" s="15" t="n"/>
      <c r="AF15" s="15" t="n"/>
      <c r="AG15" s="15" t="n"/>
      <c r="AH15" s="15" t="n"/>
      <c r="AI15" s="15" t="n"/>
      <c r="AJ15" s="15" t="inlineStr">
        <is>
          <t>Data Scientist</t>
        </is>
      </c>
      <c r="AK15" s="15" t="inlineStr">
        <is>
          <t>Client D - Platform D1 GovCloud Migration - M&amp;S - ENG-008</t>
        </is>
      </c>
      <c r="AL15" t="inlineStr">
        <is>
          <t>Masked Person 11</t>
        </is>
      </c>
    </row>
    <row r="16" ht="15" customHeight="1" s="350">
      <c r="A16" t="inlineStr">
        <is>
          <t>Masked Person 25</t>
        </is>
      </c>
      <c r="B16" t="inlineStr">
        <is>
          <t>Male</t>
        </is>
      </c>
      <c r="C16" t="inlineStr">
        <is>
          <t>Manager 1</t>
        </is>
      </c>
      <c r="D16" t="inlineStr">
        <is>
          <t>Coming on bench in 2 week(s)</t>
        </is>
      </c>
      <c r="E16" s="14" t="n">
        <v>0.266666666666667</v>
      </c>
      <c r="F16" s="14" t="n">
        <v>0.133333333333333</v>
      </c>
      <c r="G16" s="14" t="n">
        <v>1</v>
      </c>
      <c r="H16" s="14" t="n">
        <v>1</v>
      </c>
      <c r="I16" s="14" t="n">
        <v>0.6</v>
      </c>
      <c r="J16" s="14" t="n">
        <v>0</v>
      </c>
      <c r="K16" s="14" t="n">
        <v>0</v>
      </c>
      <c r="L16" s="14" t="n">
        <v>0</v>
      </c>
      <c r="M16" s="14" t="n">
        <v>0</v>
      </c>
      <c r="N16" s="14" t="n">
        <v>0</v>
      </c>
      <c r="O16" s="41" t="inlineStr">
        <is>
          <t>Aug - Oct 2026 - Client J 100%,
Nov-Dec none</t>
        </is>
      </c>
      <c r="P16" s="2">
        <f>IF($G16&gt;=100%,"NA",IF(G16=0%,"Bench","Partial Bench"))</f>
        <v/>
      </c>
      <c r="Q16" s="153" t="n">
        <v>0</v>
      </c>
      <c r="R16" s="153" t="n">
        <v>0</v>
      </c>
      <c r="S16" s="153" t="n">
        <v>0</v>
      </c>
      <c r="T16" s="153" t="n">
        <v>1</v>
      </c>
      <c r="U16" s="35" t="inlineStr">
        <is>
          <t>Available Oct onwards</t>
        </is>
      </c>
      <c r="V16" s="40" t="n">
        <v>46295</v>
      </c>
      <c r="W16" s="15" t="inlineStr">
        <is>
          <t>PR</t>
        </is>
      </c>
      <c r="X16" s="15" t="inlineStr">
        <is>
          <t>Technical Lead</t>
        </is>
      </c>
      <c r="Y16" s="15" t="inlineStr">
        <is>
          <t>Python, LLM/RAG Development (Langchain), AWS Analytics pipeline &amp; services, BI, PostgreSQL</t>
        </is>
      </c>
      <c r="Z16" s="15" t="inlineStr">
        <is>
          <t>Azure AI Services, Streamlit, LLM/RAG, Data Science, Azure, Python, AWS</t>
        </is>
      </c>
      <c r="AA16" s="41">
        <f t="array" ref="AA16">_xlfn.TEXTJOIN(", ",TRUE,_xlfn._xlws.FILTER($AB$1:$AI$1,$AB16:$AI16="Yes"))</f>
        <v/>
      </c>
      <c r="AB16" s="27" t="inlineStr">
        <is>
          <t>Yes</t>
        </is>
      </c>
      <c r="AC16" s="15" t="n"/>
      <c r="AD16" s="15" t="n"/>
      <c r="AE16" s="27" t="inlineStr">
        <is>
          <t>Yes</t>
        </is>
      </c>
      <c r="AF16" s="15" t="n"/>
      <c r="AG16" s="15" t="n"/>
      <c r="AH16" s="15" t="n"/>
      <c r="AI16" s="27" t="inlineStr">
        <is>
          <t>Yes</t>
        </is>
      </c>
      <c r="AJ16" s="15" t="inlineStr">
        <is>
          <t xml:space="preserve">ML/Agentic AI Practitioner </t>
        </is>
      </c>
      <c r="AK16" s="15" t="inlineStr">
        <is>
          <t>Project I1 100%</t>
        </is>
      </c>
      <c r="AL16" s="15" t="inlineStr">
        <is>
          <t>Masked Person 29</t>
        </is>
      </c>
    </row>
    <row r="17" ht="15" customHeight="1" s="350">
      <c r="A17" t="inlineStr">
        <is>
          <t>Masked Person 26</t>
        </is>
      </c>
      <c r="B17" t="inlineStr">
        <is>
          <t>Male</t>
        </is>
      </c>
      <c r="C17" t="inlineStr">
        <is>
          <t>Senior 3</t>
        </is>
      </c>
      <c r="D17" t="inlineStr">
        <is>
          <t>Benching for 10 week(s)</t>
        </is>
      </c>
      <c r="E17" s="14" t="n">
        <v>0</v>
      </c>
      <c r="F17" s="14" t="n">
        <v>0</v>
      </c>
      <c r="G17" s="14" t="n">
        <v>0</v>
      </c>
      <c r="H17" s="14" t="n">
        <v>0</v>
      </c>
      <c r="I17" s="14" t="n">
        <v>0</v>
      </c>
      <c r="J17" s="14" t="n">
        <v>0</v>
      </c>
      <c r="K17" s="14" t="n">
        <v>0</v>
      </c>
      <c r="L17" s="14" t="n">
        <v>0</v>
      </c>
      <c r="M17" s="14" t="n">
        <v>0</v>
      </c>
      <c r="N17" s="14" t="n">
        <v>0</v>
      </c>
      <c r="O17" s="110" t="inlineStr">
        <is>
          <t>Client P: 60% Aug26, 80% Sept 26, nov onwards 100% to 31 May 27
Client Q: 40% Aug 26, 20% Sep 26
till Aug 7 - Client Q 40%</t>
        </is>
      </c>
      <c r="P17" s="2">
        <f>IF($G17&gt;=100%,"NA",IF(G17=0%,"Bench","Partial Bench"))</f>
        <v/>
      </c>
      <c r="Q17" s="153" t="n">
        <v>1</v>
      </c>
      <c r="R17" s="153" t="n">
        <v>0.4</v>
      </c>
      <c r="S17" s="153" t="n">
        <v>0</v>
      </c>
      <c r="T17" s="153" t="n">
        <v>0</v>
      </c>
      <c r="V17" s="40" t="n"/>
      <c r="W17" s="15" t="inlineStr">
        <is>
          <t>PR</t>
        </is>
      </c>
      <c r="X17" s="15" t="inlineStr">
        <is>
          <t>DG Lead, Technical Lead</t>
        </is>
      </c>
      <c r="Y17" s="15" t="inlineStr">
        <is>
          <t>SQL, Purview, Azure, Alation, Python</t>
        </is>
      </c>
      <c r="Z17" s="15" t="inlineStr">
        <is>
          <t>QlikSense, Power BI, MATLAB, Fabric</t>
        </is>
      </c>
      <c r="AA17" s="41">
        <f t="array" ref="AA17">_xlfn.TEXTJOIN(", ",TRUE,_xlfn._xlws.FILTER($AB$1:$AI$1,$AB17:$AI17="Yes"))</f>
        <v/>
      </c>
      <c r="AB17" s="27" t="inlineStr">
        <is>
          <t>Yes</t>
        </is>
      </c>
      <c r="AC17" s="15" t="n"/>
      <c r="AD17" s="27" t="inlineStr">
        <is>
          <t>Yes</t>
        </is>
      </c>
      <c r="AE17" s="15" t="n"/>
      <c r="AF17" s="27" t="inlineStr">
        <is>
          <t>Yes</t>
        </is>
      </c>
      <c r="AG17" s="15" t="n"/>
      <c r="AH17" s="15" t="n"/>
      <c r="AI17" s="15" t="n"/>
      <c r="AJ17" s="15" t="inlineStr">
        <is>
          <t>AI Engineer</t>
        </is>
      </c>
      <c r="AK17" s="16" t="inlineStr">
        <is>
          <t>Client P
Client Q</t>
        </is>
      </c>
      <c r="AL17" s="23" t="inlineStr">
        <is>
          <t>Masked Person 40
Masked Person 56</t>
        </is>
      </c>
    </row>
    <row r="18" ht="15" customHeight="1" s="350">
      <c r="A18" t="inlineStr">
        <is>
          <t>Masked Person 27</t>
        </is>
      </c>
      <c r="B18" t="inlineStr">
        <is>
          <t>Male</t>
        </is>
      </c>
      <c r="C18" t="inlineStr">
        <is>
          <t>Manager 3</t>
        </is>
      </c>
      <c r="D18" t="inlineStr">
        <is>
          <t>Coming on bench in 115 week(s)</t>
        </is>
      </c>
      <c r="E18" s="14" t="n">
        <v>0.838654</v>
      </c>
      <c r="F18" s="14" t="n">
        <v>0.838654</v>
      </c>
      <c r="G18" s="14" t="n">
        <v>0.838654</v>
      </c>
      <c r="H18" s="14" t="n">
        <v>0.838654</v>
      </c>
      <c r="I18" s="14" t="n">
        <v>0.838654</v>
      </c>
      <c r="J18" s="14" t="n">
        <v>0.838654</v>
      </c>
      <c r="K18" s="14" t="n">
        <v>0.838654</v>
      </c>
      <c r="L18" s="14" t="n">
        <v>0.838654</v>
      </c>
      <c r="M18" s="14" t="n">
        <v>0.838654</v>
      </c>
      <c r="N18" s="14" t="n">
        <v>0.838654</v>
      </c>
      <c r="O18" s="124" t="inlineStr">
        <is>
          <t>Jan - Dec - Client A 60%, 
20% Project C2 enhancment, 
20% Project C2 BD</t>
        </is>
      </c>
      <c r="P18" s="2">
        <f>IF($G18&gt;=100%,"NA",IF(G18=0%,"Bench","Partial Bench"))</f>
        <v/>
      </c>
      <c r="Q18" s="153" t="n">
        <v>0</v>
      </c>
      <c r="R18" s="153" t="n">
        <v>0</v>
      </c>
      <c r="S18" s="153" t="n">
        <v>0</v>
      </c>
      <c r="T18" s="153" t="n">
        <v>0</v>
      </c>
      <c r="U18" s="34" t="n"/>
      <c r="V18" s="40" t="n"/>
      <c r="W18" s="15" t="inlineStr">
        <is>
          <t>EP</t>
        </is>
      </c>
      <c r="X18" s="15" t="n"/>
      <c r="Y18" s="15" t="inlineStr">
        <is>
          <t>Azure ML, Cloudera, SQL, PostgreSQL, Azure Synapse</t>
        </is>
      </c>
      <c r="Z18" s="15" t="inlineStr">
        <is>
          <t>SAS Viya / SAS 9.4, Tableau, Power BI, Azure Information Assist &amp; AI</t>
        </is>
      </c>
      <c r="AA18" s="41">
        <f t="array" ref="AA18">_xlfn.TEXTJOIN(", ",TRUE,_xlfn._xlws.FILTER($AB$1:$AI$1,$AB18:$AI18="Yes"))</f>
        <v/>
      </c>
      <c r="AB18" s="27" t="inlineStr">
        <is>
          <t>Yes</t>
        </is>
      </c>
      <c r="AC18" s="15" t="n"/>
      <c r="AD18" s="27" t="inlineStr">
        <is>
          <t>Yes</t>
        </is>
      </c>
      <c r="AE18" s="27" t="inlineStr">
        <is>
          <t>Yes</t>
        </is>
      </c>
      <c r="AF18" s="15" t="n"/>
      <c r="AG18" s="15" t="n"/>
      <c r="AH18" s="15" t="n"/>
      <c r="AI18" s="15" t="n"/>
      <c r="AJ18" s="15" t="inlineStr">
        <is>
          <t>Data Scientist</t>
        </is>
      </c>
      <c r="AK18" s="15" t="inlineStr">
        <is>
          <t>Client A - Platform A1 Maintenance Phase 1 &amp;2 - ENG-003</t>
        </is>
      </c>
      <c r="AL18" t="inlineStr">
        <is>
          <t>Masked Person 13</t>
        </is>
      </c>
    </row>
    <row r="19" ht="15" customHeight="1" s="350">
      <c r="A19" t="inlineStr">
        <is>
          <t>Masked Person 28</t>
        </is>
      </c>
      <c r="B19" t="inlineStr">
        <is>
          <t>Male</t>
        </is>
      </c>
      <c r="C19" t="inlineStr">
        <is>
          <t>Staff/Assistant 2</t>
        </is>
      </c>
      <c r="D19" t="inlineStr">
        <is>
          <t>Coming on bench in 15 week(s)</t>
        </is>
      </c>
      <c r="E19" s="14" t="n">
        <v>1.07477</v>
      </c>
      <c r="F19" s="14" t="n">
        <v>1.07477</v>
      </c>
      <c r="G19" s="14" t="n">
        <v>1.07477</v>
      </c>
      <c r="H19" s="14" t="n">
        <v>1.07477</v>
      </c>
      <c r="I19" s="14" t="n">
        <v>1.07477</v>
      </c>
      <c r="J19" s="14" t="n">
        <v>1.07477</v>
      </c>
      <c r="K19" s="14" t="n">
        <v>1.07477</v>
      </c>
      <c r="L19" s="14" t="n">
        <v>1.07477</v>
      </c>
      <c r="M19" s="14" t="n">
        <v>1.07477</v>
      </c>
      <c r="N19" s="14" t="n">
        <v>1.07477</v>
      </c>
      <c r="O19" s="154" t="inlineStr">
        <is>
          <t>May - Jun 2027 - Client A 100%</t>
        </is>
      </c>
      <c r="P19" s="2">
        <f>IF($G19&gt;=100%,"NA",IF(G19=0%,"Bench","Partial Bench"))</f>
        <v/>
      </c>
      <c r="Q19" s="153" t="n">
        <v>0</v>
      </c>
      <c r="R19" s="153" t="n">
        <v>0</v>
      </c>
      <c r="S19" s="153" t="n">
        <v>0</v>
      </c>
      <c r="T19" s="153" t="n">
        <v>0</v>
      </c>
      <c r="U19" s="36" t="n">
        <v>100</v>
      </c>
      <c r="V19" s="40" t="inlineStr">
        <is>
          <t>31/6/2027</t>
        </is>
      </c>
      <c r="W19" s="15" t="inlineStr">
        <is>
          <t>Singaporean</t>
        </is>
      </c>
      <c r="X19" s="15" t="inlineStr">
        <is>
          <t>Data Engineer</t>
        </is>
      </c>
      <c r="Y19" s="25" t="inlineStr">
        <is>
          <t>Python, Maching Learning, Data Engineering, SAS, Power BI</t>
        </is>
      </c>
      <c r="Z19" s="25" t="inlineStr">
        <is>
          <t>Azure, Alation, Figma</t>
        </is>
      </c>
      <c r="AA19" s="41">
        <f t="array" ref="AA19">_xlfn.TEXTJOIN(", ",TRUE,_xlfn._xlws.FILTER($AB$1:$AI$1,$AB19:$AI19="Yes"))</f>
        <v/>
      </c>
      <c r="AB19" s="27" t="inlineStr">
        <is>
          <t>Yes</t>
        </is>
      </c>
      <c r="AD19" s="27" t="inlineStr">
        <is>
          <t>Yes</t>
        </is>
      </c>
      <c r="AE19" s="27" t="inlineStr">
        <is>
          <t>Yes</t>
        </is>
      </c>
      <c r="AF19" s="27" t="inlineStr">
        <is>
          <t>Yes</t>
        </is>
      </c>
      <c r="AI19" s="25" t="inlineStr">
        <is>
          <t>Yes</t>
        </is>
      </c>
      <c r="AJ19" t="inlineStr">
        <is>
          <t>Data engineer, data scientist, data analyst, Data Governance</t>
        </is>
      </c>
      <c r="AK19" s="16" t="inlineStr">
        <is>
          <t>Client A - Platform A1 Maintenance Phase 1 &amp;2 - ENG-003 (Current)
Client B - System B1 Maintenance &amp; Support YR 2 to 5 - ENG-006</t>
        </is>
      </c>
      <c r="AL19" s="23" t="inlineStr">
        <is>
          <t>Masked Person 13 (Current)
Masked Person 11</t>
        </is>
      </c>
    </row>
    <row r="20" ht="15" customHeight="1" s="350">
      <c r="A20" t="inlineStr">
        <is>
          <t>Masked Person 30</t>
        </is>
      </c>
      <c r="B20" t="inlineStr">
        <is>
          <t>Female</t>
        </is>
      </c>
      <c r="C20" t="inlineStr">
        <is>
          <t>Senior 3</t>
        </is>
      </c>
      <c r="D20" t="inlineStr">
        <is>
          <t>Coming on bench in 15 week(s)</t>
        </is>
      </c>
      <c r="E20" s="14" t="n">
        <v>1.06098</v>
      </c>
      <c r="F20" s="14" t="n">
        <v>1.06098</v>
      </c>
      <c r="G20" s="14" t="n">
        <v>1.06098</v>
      </c>
      <c r="H20" s="14" t="n">
        <v>1.06098</v>
      </c>
      <c r="I20" s="14" t="n">
        <v>1.06098</v>
      </c>
      <c r="J20" s="14" t="n">
        <v>1.06098</v>
      </c>
      <c r="K20" s="14" t="n">
        <v>1.06098</v>
      </c>
      <c r="L20" s="14" t="n">
        <v>1.06098</v>
      </c>
      <c r="M20" s="14" t="n">
        <v>1.06098</v>
      </c>
      <c r="N20" s="14" t="n">
        <v>1.06098</v>
      </c>
      <c r="O20" s="123" t="inlineStr">
        <is>
          <t>Jan - Dec 2030 Client C 100%</t>
        </is>
      </c>
      <c r="P20" s="2">
        <f>IF($G20&gt;=100%,"NA",IF(G20=0%,"Bench","Partial Bench"))</f>
        <v/>
      </c>
      <c r="Q20" s="153" t="n">
        <v>0</v>
      </c>
      <c r="R20" s="153" t="n">
        <v>0</v>
      </c>
      <c r="S20" s="153" t="n">
        <v>0</v>
      </c>
      <c r="T20" s="153" t="n">
        <v>0</v>
      </c>
      <c r="U20" s="32" t="n"/>
      <c r="V20" s="40" t="n">
        <v>46752</v>
      </c>
      <c r="W20" s="15" t="inlineStr">
        <is>
          <t>Singaporean</t>
        </is>
      </c>
      <c r="X20" s="16" t="inlineStr">
        <is>
          <t>Data engineer, Data Analyst, Business Analyst
Business Analyst, Data Engineer</t>
        </is>
      </c>
      <c r="Y20" s="16" t="inlineStr">
        <is>
          <t>SQL, Azure, Python, Microsoft Power Bi
SQL, Azure, Power BI</t>
        </is>
      </c>
      <c r="Z20" s="16" t="inlineStr">
        <is>
          <t>JIRA
SAS, Python, R, Linux</t>
        </is>
      </c>
      <c r="AA20" s="41">
        <f t="array" ref="AA20">_xlfn.TEXTJOIN(", ",TRUE,_xlfn._xlws.FILTER($AB$1:$AI$1,$AB20:$AI20="Yes"))</f>
        <v/>
      </c>
      <c r="AB20" s="26" t="inlineStr">
        <is>
          <t>Yes</t>
        </is>
      </c>
      <c r="AC20" s="16" t="n"/>
      <c r="AD20" s="26" t="inlineStr">
        <is>
          <t>Yes</t>
        </is>
      </c>
      <c r="AE20" s="16" t="n"/>
      <c r="AF20" s="16" t="n"/>
      <c r="AG20" s="16" t="n"/>
      <c r="AH20" s="16" t="n"/>
      <c r="AI20" s="16" t="n"/>
      <c r="AJ20" s="16" t="inlineStr">
        <is>
          <t>AI Engineer
AI Engineering</t>
        </is>
      </c>
      <c r="AK20" s="15" t="inlineStr">
        <is>
          <t>Client C - Platform C1 - Implementation Release 2 and 3 - ENG-014</t>
        </is>
      </c>
      <c r="AL20" t="inlineStr">
        <is>
          <t>Masked Person 61</t>
        </is>
      </c>
    </row>
    <row r="21" ht="15" customHeight="1" s="350">
      <c r="A21" t="inlineStr">
        <is>
          <t>Masked Person 31</t>
        </is>
      </c>
      <c r="B21" t="inlineStr">
        <is>
          <t>Female</t>
        </is>
      </c>
      <c r="C21" t="inlineStr">
        <is>
          <t>Staff/Assistant 2</t>
        </is>
      </c>
      <c r="D21" t="inlineStr">
        <is>
          <t>Coming on bench in 15 week(s)</t>
        </is>
      </c>
      <c r="E21" s="14" t="n">
        <v>1.05556</v>
      </c>
      <c r="F21" s="14" t="n">
        <v>1.05556</v>
      </c>
      <c r="G21" s="14" t="n">
        <v>1.05556</v>
      </c>
      <c r="H21" s="14" t="n">
        <v>1.05556</v>
      </c>
      <c r="I21" s="14" t="n">
        <v>1.05556</v>
      </c>
      <c r="J21" s="14" t="n">
        <v>1.05556</v>
      </c>
      <c r="K21" s="14" t="n">
        <v>1.05556</v>
      </c>
      <c r="L21" s="14" t="n">
        <v>1.05556</v>
      </c>
      <c r="M21" s="14" t="n">
        <v>1.05556</v>
      </c>
      <c r="N21" s="14" t="n">
        <v>1.05556</v>
      </c>
      <c r="O21" s="41" t="inlineStr">
        <is>
          <t>Jul 2026 - Dec 2027 - Client B 100%
Mar - Dec 2026 - Client B 100%</t>
        </is>
      </c>
      <c r="P21" s="2">
        <f>IF($G21&gt;=100%,"NA",IF(G21=0%,"Bench","Partial Bench"))</f>
        <v/>
      </c>
      <c r="Q21" s="153" t="n">
        <v>0</v>
      </c>
      <c r="R21" s="153" t="n">
        <v>0</v>
      </c>
      <c r="S21" s="153" t="n">
        <v>0</v>
      </c>
      <c r="T21" s="153" t="n">
        <v>1</v>
      </c>
      <c r="U21" s="32" t="n">
        <v>100</v>
      </c>
      <c r="V21" s="40" t="n">
        <v>46752</v>
      </c>
      <c r="W21" s="15" t="inlineStr">
        <is>
          <t>PR</t>
        </is>
      </c>
      <c r="X21" s="15" t="inlineStr">
        <is>
          <t>Data Engineer</t>
        </is>
      </c>
      <c r="Y21" s="16" t="inlineStr">
        <is>
          <t>Azure, SQL, Python, ETL, ML, Microsoft Power BI
Python, SQL, PySpark, R, CQL, Azure, MS SQL, Power BI</t>
        </is>
      </c>
      <c r="Z21" s="16" t="inlineStr">
        <is>
          <t>SAS, AWS, RAG/LLM
Java, C, C++, JavaScript, PostgreSQL, R, DAX, CSS, HTML, SAS, NetBeans, Azure, AWS, Oracle, Bitbucket, Git, SAP, Snowflake</t>
        </is>
      </c>
      <c r="AA21" s="41">
        <f t="array" ref="AA21">_xlfn.TEXTJOIN(", ",TRUE,_xlfn._xlws.FILTER($AB$1:$AI$1,$AB21:$AI21="Yes"))</f>
        <v/>
      </c>
      <c r="AB21" s="26" t="inlineStr">
        <is>
          <t>Yes</t>
        </is>
      </c>
      <c r="AC21" s="16" t="n"/>
      <c r="AD21" s="26" t="inlineStr">
        <is>
          <t>Yes</t>
        </is>
      </c>
      <c r="AE21" s="26" t="inlineStr">
        <is>
          <t>Yes</t>
        </is>
      </c>
      <c r="AF21" s="16" t="n"/>
      <c r="AG21" s="16" t="n"/>
      <c r="AH21" s="16" t="n"/>
      <c r="AI21" s="16" t="n"/>
      <c r="AJ21" s="16" t="inlineStr">
        <is>
          <t>AI Engineer, Data Scientist, Applied AI Engineer, AI Platform Engineer
Data Engineer, Solution Architect, Data Scientist</t>
        </is>
      </c>
      <c r="AK21" s="15" t="inlineStr">
        <is>
          <t>Client B - System B1 SAS Upgrade - 3.5 - ENG-010</t>
        </is>
      </c>
      <c r="AL21" s="23" t="inlineStr">
        <is>
          <t>Masked Person 13 (Current)
Masked Person 11</t>
        </is>
      </c>
    </row>
    <row r="22" ht="15" customHeight="1" s="350">
      <c r="A22" t="inlineStr">
        <is>
          <t>Masked Person 32</t>
        </is>
      </c>
      <c r="B22" t="inlineStr">
        <is>
          <t>Male</t>
        </is>
      </c>
      <c r="C22" t="inlineStr">
        <is>
          <t>Staff/Assistant 1</t>
        </is>
      </c>
      <c r="D22" t="inlineStr">
        <is>
          <t>Benching for 7 week(s)</t>
        </is>
      </c>
      <c r="E22" s="14" t="n">
        <v>0</v>
      </c>
      <c r="F22" s="14" t="n">
        <v>0</v>
      </c>
      <c r="G22" s="14" t="n">
        <v>0</v>
      </c>
      <c r="H22" s="14" t="n">
        <v>0</v>
      </c>
      <c r="I22" s="14" t="n">
        <v>0</v>
      </c>
      <c r="J22" s="14" t="n">
        <v>0</v>
      </c>
      <c r="K22" s="14" t="n">
        <v>0</v>
      </c>
      <c r="L22" s="14" t="n">
        <v>0</v>
      </c>
      <c r="M22" s="14" t="n">
        <v>0</v>
      </c>
      <c r="N22" s="14" t="n">
        <v>0</v>
      </c>
      <c r="O22" s="110" t="inlineStr">
        <is>
          <t>May - Sep 2026 - Client L 100%
Jul - Nov 2026 - Client L 100%</t>
        </is>
      </c>
      <c r="P22" s="2">
        <f>IF($G22&gt;=100%,"NA",IF(G22=0%,"Bench","Partial Bench"))</f>
        <v/>
      </c>
      <c r="Q22" s="153" t="n">
        <v>1</v>
      </c>
      <c r="R22" s="153" t="n">
        <v>1</v>
      </c>
      <c r="S22" s="153" t="n">
        <v>1</v>
      </c>
      <c r="T22" s="153" t="n">
        <v>1</v>
      </c>
      <c r="U22" s="36" t="n">
        <v>100</v>
      </c>
      <c r="V22" s="40" t="n">
        <v>46265</v>
      </c>
      <c r="W22" s="15" t="inlineStr">
        <is>
          <t>Singaporean</t>
        </is>
      </c>
      <c r="X22" s="16" t="inlineStr">
        <is>
          <t>Data Engineer
Platform C1, testing &amp; documentation</t>
        </is>
      </c>
      <c r="Y22" s="23" t="inlineStr">
        <is>
          <t>Python
Python, Typescript, Next.js, Java</t>
        </is>
      </c>
      <c r="Z22" s="16" t="inlineStr">
        <is>
          <t>AWS
React.js, JavaScript, C++, AWS</t>
        </is>
      </c>
      <c r="AA22" s="41">
        <f t="array" ref="AA22">_xlfn.TEXTJOIN(", ",TRUE,_xlfn._xlws.FILTER($AB$1:$AI$1,$AB22:$AI22="Yes"))</f>
        <v/>
      </c>
      <c r="AB22" s="16" t="n"/>
      <c r="AC22" s="16" t="n"/>
      <c r="AD22" s="16" t="n"/>
      <c r="AE22" s="26" t="inlineStr">
        <is>
          <t>Yes</t>
        </is>
      </c>
      <c r="AF22" s="16" t="n"/>
      <c r="AG22" s="16" t="n"/>
      <c r="AH22" s="16" t="n"/>
      <c r="AI22" s="26" t="inlineStr">
        <is>
          <t>Yes</t>
        </is>
      </c>
      <c r="AJ22" s="16" t="inlineStr">
        <is>
          <t>Data Engineer, Cloud Engineer
Software / Data Engineer</t>
        </is>
      </c>
      <c r="AK22" t="inlineStr">
        <is>
          <t>Project L1. Data strategy project</t>
        </is>
      </c>
      <c r="AL22" s="15" t="inlineStr">
        <is>
          <t>Masked Person 65</t>
        </is>
      </c>
    </row>
    <row r="23" ht="15" customHeight="1" s="350">
      <c r="A23" t="inlineStr">
        <is>
          <t>Masked Person 33</t>
        </is>
      </c>
      <c r="B23" s="25" t="inlineStr">
        <is>
          <t>Female</t>
        </is>
      </c>
      <c r="C23" t="inlineStr">
        <is>
          <t>Senior 2</t>
        </is>
      </c>
      <c r="D23" t="inlineStr">
        <is>
          <t>Coming on bench in 15 week(s)</t>
        </is>
      </c>
      <c r="E23" s="14" t="n">
        <v>1</v>
      </c>
      <c r="F23" s="14" t="n">
        <v>1</v>
      </c>
      <c r="G23" s="14" t="n">
        <v>1</v>
      </c>
      <c r="H23" s="14" t="n">
        <v>1</v>
      </c>
      <c r="I23" s="14" t="n">
        <v>1</v>
      </c>
      <c r="J23" s="14" t="n">
        <v>1</v>
      </c>
      <c r="K23" s="14" t="n">
        <v>1</v>
      </c>
      <c r="L23" s="14" t="n">
        <v>1</v>
      </c>
      <c r="M23" s="14" t="n">
        <v>1</v>
      </c>
      <c r="N23" s="14" t="n">
        <v>1</v>
      </c>
      <c r="O23" s="41" t="inlineStr">
        <is>
          <t>Aug 2026 - Jan 2027 - Client B
Jan- Dec 2029 Client B 100%</t>
        </is>
      </c>
      <c r="P23" s="2">
        <f>IF($G23&gt;=100%,"NA",IF(G23=0%,"Bench","Partial Bench"))</f>
        <v/>
      </c>
      <c r="Q23" s="153" t="n">
        <v>0</v>
      </c>
      <c r="R23" s="153" t="n">
        <v>0</v>
      </c>
      <c r="S23" s="153" t="n">
        <v>0</v>
      </c>
      <c r="T23" s="153" t="n">
        <v>0</v>
      </c>
      <c r="U23" s="34" t="n">
        <v>1</v>
      </c>
      <c r="V23" t="inlineStr">
        <is>
          <t>12/31/2027</t>
        </is>
      </c>
      <c r="W23" s="15" t="inlineStr">
        <is>
          <t>PR</t>
        </is>
      </c>
      <c r="X23" s="15" t="inlineStr">
        <is>
          <t>Data Engineer</t>
        </is>
      </c>
      <c r="Y23" s="16" t="inlineStr">
        <is>
          <t>Python, Microsoft Power Bi, Azure
SQL, PostgreSQL, SAS, Python, R</t>
        </is>
      </c>
      <c r="Z23" s="16" t="inlineStr">
        <is>
          <t>SQL, SAS
Tableau, Power BI</t>
        </is>
      </c>
      <c r="AA23" s="41">
        <f t="array" ref="AA23">_xlfn.TEXTJOIN(", ",TRUE,_xlfn._xlws.FILTER($AB$1:$AI$1,$AB23:$AI23="Yes"))</f>
        <v/>
      </c>
      <c r="AB23" s="26" t="inlineStr">
        <is>
          <t>Yes</t>
        </is>
      </c>
      <c r="AC23" s="16" t="n"/>
      <c r="AD23" s="26" t="inlineStr">
        <is>
          <t>Yes</t>
        </is>
      </c>
      <c r="AE23" s="16" t="n"/>
      <c r="AF23" s="16" t="n"/>
      <c r="AG23" s="16" t="n"/>
      <c r="AH23" s="16" t="n"/>
      <c r="AI23" s="16" t="n"/>
      <c r="AJ23" s="16" t="inlineStr">
        <is>
          <t>AI/ML Ops Engineer
Data Scientist</t>
        </is>
      </c>
      <c r="AK23" s="15" t="inlineStr">
        <is>
          <t>Client B - System B1 Maintenance &amp; Support YR 2 to 5 - ENG-006</t>
        </is>
      </c>
      <c r="AL23" t="inlineStr">
        <is>
          <t>Masked Person 11</t>
        </is>
      </c>
    </row>
    <row r="24" ht="15" customHeight="1" s="350">
      <c r="A24" t="inlineStr">
        <is>
          <t>Masked Person 34</t>
        </is>
      </c>
      <c r="B24" s="25" t="inlineStr">
        <is>
          <t>Female</t>
        </is>
      </c>
      <c r="C24" t="inlineStr">
        <is>
          <t>Staff/Assistant 1</t>
        </is>
      </c>
      <c r="D24" t="inlineStr">
        <is>
          <t>Coming on bench in 1 week(s)</t>
        </is>
      </c>
      <c r="E24" s="14" t="n">
        <v>0.0683333333333334</v>
      </c>
      <c r="F24" s="14" t="n">
        <v>0.0341666666666666</v>
      </c>
      <c r="G24" s="14" t="n">
        <v>2.05</v>
      </c>
      <c r="H24" s="14" t="n">
        <v>0.41</v>
      </c>
      <c r="I24" s="14" t="n">
        <v>0</v>
      </c>
      <c r="J24" s="14" t="n">
        <v>0</v>
      </c>
      <c r="K24" s="14" t="n">
        <v>0</v>
      </c>
      <c r="L24" s="14" t="n">
        <v>0</v>
      </c>
      <c r="M24" s="14" t="n">
        <v>0</v>
      </c>
      <c r="N24" s="14" t="n">
        <v>0</v>
      </c>
      <c r="O24" s="41" t="inlineStr">
        <is>
          <t>Booked for Client S Project. From 01 Oct 2026 - 1 Jan 2027
July 2026 - September 2026 Project F2 100% 
Jul - 21 Sep 2026 Client F 100%</t>
        </is>
      </c>
      <c r="P24" s="2">
        <f>IF($G24&gt;=100%,"NA",IF(G24=0%,"Bench","Partial Bench"))</f>
        <v/>
      </c>
      <c r="Q24" s="153" t="n">
        <v>0</v>
      </c>
      <c r="R24" s="153" t="n">
        <v>0</v>
      </c>
      <c r="S24" s="153" t="n">
        <v>0</v>
      </c>
      <c r="T24" s="153" t="n">
        <v>0</v>
      </c>
      <c r="U24" s="32" t="n">
        <v>100</v>
      </c>
      <c r="V24" t="inlineStr">
        <is>
          <t>9/18/2026</t>
        </is>
      </c>
      <c r="W24" s="15" t="inlineStr">
        <is>
          <t>Singaporean</t>
        </is>
      </c>
      <c r="X24" s="16" t="inlineStr">
        <is>
          <t>AI analyst
Business Enablement, AI Analyst</t>
        </is>
      </c>
      <c r="Y24" s="16" t="inlineStr">
        <is>
          <t>Product Ops, Design, LLM/RAG, Azure, MS Power Apps
Python, SQL, React, Generative AI Content Generation</t>
        </is>
      </c>
      <c r="Z24" s="16" t="inlineStr">
        <is>
          <t>JIRA, Zapier, N8N, Figma
Business Development, Design</t>
        </is>
      </c>
      <c r="AA24" s="41">
        <f t="array" ref="AA24">_xlfn.TEXTJOIN(", ",TRUE,_xlfn._xlws.FILTER($AB$1:$AI$1,$AB24:$AI24="Yes"))</f>
        <v/>
      </c>
      <c r="AB24" s="16" t="n"/>
      <c r="AC24" s="16" t="n"/>
      <c r="AD24" s="16" t="n"/>
      <c r="AE24" s="26" t="inlineStr">
        <is>
          <t>Yes</t>
        </is>
      </c>
      <c r="AF24" s="16" t="n"/>
      <c r="AG24" s="16" t="n"/>
      <c r="AH24" s="26" t="inlineStr">
        <is>
          <t>Yes</t>
        </is>
      </c>
      <c r="AI24" s="16" t="n"/>
      <c r="AJ24" s="16" t="inlineStr">
        <is>
          <t>AI Product Manager 
Product Manager, Strategy Consultant, Business Analyst</t>
        </is>
      </c>
      <c r="AK24" t="inlineStr">
        <is>
          <t>ENG-023 Project F2</t>
        </is>
      </c>
      <c r="AL24" s="15" t="inlineStr">
        <is>
          <t>Masked Person 29</t>
        </is>
      </c>
    </row>
    <row r="25" ht="15" customHeight="1" s="350">
      <c r="A25" t="inlineStr">
        <is>
          <t>Masked Person 35</t>
        </is>
      </c>
      <c r="B25" s="25" t="inlineStr">
        <is>
          <t>Male</t>
        </is>
      </c>
      <c r="C25" t="inlineStr">
        <is>
          <t>Senior 2</t>
        </is>
      </c>
      <c r="D25" t="inlineStr">
        <is>
          <t>Coming on bench in 15 week(s)</t>
        </is>
      </c>
      <c r="E25" s="14" t="n">
        <v>1.05674</v>
      </c>
      <c r="F25" s="14" t="n">
        <v>1.05674</v>
      </c>
      <c r="G25" s="14" t="n">
        <v>1.05674</v>
      </c>
      <c r="H25" s="14" t="n">
        <v>1.05674</v>
      </c>
      <c r="I25" s="14" t="n">
        <v>1.05674</v>
      </c>
      <c r="J25" s="14" t="n">
        <v>1.05674</v>
      </c>
      <c r="K25" s="14" t="n">
        <v>1.05674</v>
      </c>
      <c r="L25" s="14" t="n">
        <v>1.05674</v>
      </c>
      <c r="M25" s="14" t="n">
        <v>1.05674</v>
      </c>
      <c r="N25" s="14" t="n">
        <v>1.05674</v>
      </c>
      <c r="O25" s="41" t="inlineStr">
        <is>
          <t>Client S 1 Sep 26 to 31 Jan 27
Client L LR (Masked Person 24), Project C4 (Masked Person 42/Masked Person 40), Client AF (Masked Person 29)
Client E (Masked Person 17/Masked Person 42/Masked Person 29) - hands on to experiment with prototype AI solution - assessed component for tender submission</t>
        </is>
      </c>
      <c r="P25" s="2">
        <f>IF($G25&gt;=100%,"NA",IF(G25=0%,"Bench","Partial Bench"))</f>
        <v/>
      </c>
      <c r="Q25" s="153" t="n">
        <v>0</v>
      </c>
      <c r="R25" s="153" t="n">
        <v>0</v>
      </c>
      <c r="S25" s="153" t="n">
        <v>0</v>
      </c>
      <c r="T25" s="153" t="n">
        <v>0</v>
      </c>
      <c r="U25" s="32" t="n">
        <v>0</v>
      </c>
      <c r="V25" s="40" t="n">
        <v>46211</v>
      </c>
      <c r="W25" s="15" t="inlineStr">
        <is>
          <t>Singaporean</t>
        </is>
      </c>
      <c r="X25" s="15" t="inlineStr">
        <is>
          <t>AI Strategy Consultant, Analytics Transformation Consultant, Business Analyst, Data Scientist, Project Manager
Business Analyst, Project Management, Data Scientist</t>
        </is>
      </c>
      <c r="Y25" s="16" t="inlineStr">
        <is>
          <t>Python, R, SQL, AI/ML (including Deep Learning), GenAI
AWS Sagemaker, Python, R, PyTorch, sklearn, TensorFlow</t>
        </is>
      </c>
      <c r="Z25" s="16" t="inlineStr">
        <is>
          <t>JIRA
Fabric, SQL, Gurobi Solver, QlikSense, Power BI</t>
        </is>
      </c>
      <c r="AA25" s="41">
        <f t="array" ref="AA25">_xlfn.TEXTJOIN(", ",TRUE,_xlfn._xlws.FILTER($AB$1:$AI$1,$AB25:$AI25="Yes"))</f>
        <v/>
      </c>
      <c r="AB25" s="16" t="inlineStr">
        <is>
          <t>Yes</t>
        </is>
      </c>
      <c r="AC25" s="16" t="n"/>
      <c r="AD25" s="16" t="inlineStr">
        <is>
          <t>Yes</t>
        </is>
      </c>
      <c r="AE25" s="16" t="inlineStr">
        <is>
          <t>Yes</t>
        </is>
      </c>
      <c r="AF25" s="16" t="n"/>
      <c r="AG25" s="16" t="n"/>
      <c r="AH25" s="16" t="n"/>
      <c r="AI25" s="16" t="n"/>
      <c r="AJ25" s="16" t="inlineStr">
        <is>
          <t>Data Scientist, AI Engineer
Business Analyst/Consultant, Data Scientist, AI Engineer</t>
        </is>
      </c>
      <c r="AK25" s="15" t="inlineStr">
        <is>
          <t>Client F - Project F1 - ENG-021</t>
        </is>
      </c>
      <c r="AL25" s="15" t="inlineStr">
        <is>
          <t>Masked Person 29</t>
        </is>
      </c>
    </row>
    <row r="26" ht="15" customHeight="1" s="350">
      <c r="A26" t="inlineStr">
        <is>
          <t>Masked Person 38</t>
        </is>
      </c>
      <c r="B26" s="25" t="inlineStr">
        <is>
          <t>Male</t>
        </is>
      </c>
      <c r="C26" t="inlineStr">
        <is>
          <t>Staff/Assistant 2</t>
        </is>
      </c>
      <c r="D26" t="inlineStr">
        <is>
          <t>Benching for 10 week(s)</t>
        </is>
      </c>
      <c r="E26" s="14" t="n">
        <v>0</v>
      </c>
      <c r="F26" s="14" t="n">
        <v>0</v>
      </c>
      <c r="G26" s="14" t="n">
        <v>0</v>
      </c>
      <c r="H26" s="14" t="n">
        <v>0</v>
      </c>
      <c r="I26" s="14" t="n">
        <v>0</v>
      </c>
      <c r="J26" s="14" t="n">
        <v>0</v>
      </c>
      <c r="K26" s="14" t="n">
        <v>0</v>
      </c>
      <c r="L26" s="14" t="n">
        <v>0</v>
      </c>
      <c r="M26" s="14" t="n">
        <v>0</v>
      </c>
      <c r="N26" s="14" t="n">
        <v>0</v>
      </c>
      <c r="O26" s="41" t="inlineStr">
        <is>
          <t xml:space="preserve">Jul26-Jan27, 100% for Client C Enhancement and Investigation Assistant
Short listed for Client AB, Client M first round.
</t>
        </is>
      </c>
      <c r="P26" s="2">
        <f>IF($G26&gt;=100%,"NA",IF(G26=0%,"Bench","Partial Bench"))</f>
        <v/>
      </c>
      <c r="Q26" s="153" t="n">
        <v>1</v>
      </c>
      <c r="R26" s="153" t="n">
        <v>1</v>
      </c>
      <c r="S26" s="153" t="n">
        <v>1</v>
      </c>
      <c r="T26" s="153" t="n">
        <v>1</v>
      </c>
      <c r="U26" s="35" t="n"/>
      <c r="V26" s="40" t="n"/>
      <c r="W26" t="inlineStr">
        <is>
          <t>Singaporean</t>
        </is>
      </c>
      <c r="X26" s="15" t="inlineStr">
        <is>
          <t>Frontend Developer, AI Developer</t>
        </is>
      </c>
      <c r="Y26" s="10" t="inlineStr">
        <is>
          <t>Python, SQL, TypeScript, React, PostgreSQL, FastAPI, Docker, LangGraph, ThreeJS</t>
        </is>
      </c>
      <c r="Z26" s="11" t="inlineStr">
        <is>
          <t>AWS, GCP, Azure, Java, SpringBoot, Hibernate, SalesForce, Git</t>
        </is>
      </c>
      <c r="AA26" s="41">
        <f t="array" ref="AA26">_xlfn.TEXTJOIN(", ",TRUE,_xlfn._xlws.FILTER($AB$1:$AI$1,$AB26:$AI26="Yes"))</f>
        <v/>
      </c>
      <c r="AB26" s="11" t="n"/>
      <c r="AC26" s="11" t="n"/>
      <c r="AD26" s="11" t="n"/>
      <c r="AE26" s="11" t="inlineStr">
        <is>
          <t>Yes</t>
        </is>
      </c>
      <c r="AF26" s="11" t="n"/>
      <c r="AG26" s="11" t="n"/>
      <c r="AH26" s="11" t="n"/>
      <c r="AI26" s="11" t="inlineStr">
        <is>
          <t>Yes</t>
        </is>
      </c>
      <c r="AJ26" s="11" t="inlineStr">
        <is>
          <t>Forward Deploy Engineer, Cloud Platforms, MLOps</t>
        </is>
      </c>
      <c r="AK26" s="15" t="n"/>
      <c r="AL26" s="15" t="n"/>
    </row>
    <row r="27" ht="15" customHeight="1" s="350">
      <c r="A27" t="inlineStr">
        <is>
          <t>Masked Person 39</t>
        </is>
      </c>
      <c r="B27" s="25" t="inlineStr">
        <is>
          <t>Female</t>
        </is>
      </c>
      <c r="C27" t="inlineStr">
        <is>
          <t>Senior 1</t>
        </is>
      </c>
      <c r="D27" t="inlineStr">
        <is>
          <t>Coming on bench in 6 week(s)</t>
        </is>
      </c>
      <c r="E27" s="14" t="n">
        <v>0.346666666666667</v>
      </c>
      <c r="F27" s="14" t="n">
        <v>0.173333333333333</v>
      </c>
      <c r="G27" s="14" t="n">
        <v>0.4</v>
      </c>
      <c r="H27" s="14" t="n">
        <v>0.4</v>
      </c>
      <c r="I27" s="14" t="n">
        <v>0.4</v>
      </c>
      <c r="J27" s="14" t="n">
        <v>0.4</v>
      </c>
      <c r="K27" s="14" t="n">
        <v>0.4</v>
      </c>
      <c r="L27" s="14" t="n">
        <v>0.4</v>
      </c>
      <c r="M27" s="14" t="n">
        <v>0.08</v>
      </c>
      <c r="N27" s="14" t="n">
        <v>0</v>
      </c>
      <c r="O27" s="41" t="inlineStr">
        <is>
          <t>Client S 7 Sept 26 - 31 Jan27 (40%)
Sep 2026 - Jan 2027 - none
Jul - Aug 2026 - Client F 100%
Profile has been submitted for Client AB.</t>
        </is>
      </c>
      <c r="P27" s="2">
        <f>IF($G27&gt;=100%,"NA",IF(G27=0%,"Bench","Partial Bench"))</f>
        <v/>
      </c>
      <c r="Q27" s="153" t="n">
        <v>0</v>
      </c>
      <c r="R27" s="153" t="n">
        <v>0</v>
      </c>
      <c r="S27" s="153" t="n">
        <v>0</v>
      </c>
      <c r="T27" s="153" t="n">
        <v>0</v>
      </c>
      <c r="U27" s="32" t="n"/>
      <c r="V27" s="40" t="n">
        <v>46211</v>
      </c>
      <c r="W27" s="15" t="inlineStr">
        <is>
          <t>PR</t>
        </is>
      </c>
      <c r="X27" s="15" t="inlineStr">
        <is>
          <t>AI Scientist</t>
        </is>
      </c>
      <c r="Y27" s="16" t="inlineStr">
        <is>
          <t>Deep Learning, MLOps, Python, AWS, LLM
Python, PyTorch, TensorFlow, AWS SageMaker, SQL, SAS, PostgreSQL, Java</t>
        </is>
      </c>
      <c r="Z27" s="16" t="inlineStr">
        <is>
          <t>SQL, React.js
React.js, Next.js, FastAPI, OpenCV, Tesseract, Flask, Power BI, MongoDB</t>
        </is>
      </c>
      <c r="AA27" s="41">
        <f t="array" ref="AA27">_xlfn.TEXTJOIN(", ",TRUE,_xlfn._xlws.FILTER($AB$1:$AI$1,$AB27:$AI27="Yes"))</f>
        <v/>
      </c>
      <c r="AB27" s="16" t="n"/>
      <c r="AC27" s="16" t="n"/>
      <c r="AD27" s="16" t="n"/>
      <c r="AE27" s="16" t="inlineStr">
        <is>
          <t>Yes</t>
        </is>
      </c>
      <c r="AF27" s="16" t="n"/>
      <c r="AG27" s="16" t="n"/>
      <c r="AH27" s="16" t="n"/>
      <c r="AI27" s="16" t="inlineStr">
        <is>
          <t>Yes</t>
        </is>
      </c>
      <c r="AJ27" s="16" t="inlineStr">
        <is>
          <t>AI Engineer
AI Development, LLM, Quantum Machine Learning</t>
        </is>
      </c>
      <c r="AK27" s="15" t="inlineStr">
        <is>
          <t>Client F - Project F1 - ENG-021</t>
        </is>
      </c>
      <c r="AL27" s="15" t="inlineStr">
        <is>
          <t>Masked Person 29</t>
        </is>
      </c>
    </row>
    <row r="28" hidden="1" ht="43.5" customHeight="1" s="350">
      <c r="A28" t="inlineStr">
        <is>
          <t>Masked Person 41</t>
        </is>
      </c>
      <c r="B28" s="25" t="inlineStr">
        <is>
          <t>Female</t>
        </is>
      </c>
      <c r="C28" t="inlineStr">
        <is>
          <t>Intern (CS) 1</t>
        </is>
      </c>
      <c r="D28" t="inlineStr">
        <is>
          <t>Benching for 9 week(s)</t>
        </is>
      </c>
      <c r="E28" s="14" t="n">
        <v>0</v>
      </c>
      <c r="F28" s="14" t="n">
        <v>0</v>
      </c>
      <c r="G28" s="14" t="n">
        <v>0</v>
      </c>
      <c r="H28" s="14" t="n">
        <v>0</v>
      </c>
      <c r="I28" s="14" t="n">
        <v>0</v>
      </c>
      <c r="J28" s="14" t="n">
        <v>0</v>
      </c>
      <c r="K28" s="14" t="n">
        <v>0</v>
      </c>
      <c r="L28" s="14" t="n">
        <v>0</v>
      </c>
      <c r="M28" s="14" t="n">
        <v>0</v>
      </c>
      <c r="N28" s="14" t="n">
        <v>0</v>
      </c>
      <c r="O28" t="inlineStr">
        <is>
          <t>100% Client D, 31 Dec 26
Cleared for Client D till Dec, still helping with BD (05 Aug)
Internship ending date is 18 December 2026</t>
        </is>
      </c>
      <c r="P28" s="2">
        <f>IF($G28&gt;=100%,"NA",IF(G28=0%,"Bench","Partial Bench"))</f>
        <v/>
      </c>
      <c r="Q28" s="153" t="n">
        <v>0</v>
      </c>
      <c r="R28" s="153" t="n">
        <v>0</v>
      </c>
      <c r="S28" s="153" t="n">
        <v>0</v>
      </c>
      <c r="T28" s="153" t="n">
        <v>0</v>
      </c>
      <c r="U28" s="34" t="n">
        <v>1</v>
      </c>
      <c r="V28" s="40" t="n">
        <v>46374</v>
      </c>
      <c r="W28" t="inlineStr">
        <is>
          <t>Singaporean</t>
        </is>
      </c>
      <c r="X28" t="inlineStr">
        <is>
          <t>AI product manager at previous intern</t>
        </is>
      </c>
      <c r="Y28" t="inlineStr">
        <is>
          <t>LLM/RAG, Python</t>
        </is>
      </c>
      <c r="Z28" t="inlineStr">
        <is>
          <t>AWS, Jira, Docker</t>
        </is>
      </c>
      <c r="AA28" s="41">
        <f t="array" ref="AA28">_xlfn.TEXTJOIN(", ",TRUE,_xlfn._xlws.FILTER($AB$1:$AI$1,$AB28:$AI28="Yes"))</f>
        <v/>
      </c>
      <c r="AB28" t="inlineStr">
        <is>
          <t>Yes</t>
        </is>
      </c>
      <c r="AE28" s="16" t="inlineStr">
        <is>
          <t>Yes</t>
        </is>
      </c>
      <c r="AH28" t="inlineStr">
        <is>
          <t>Yes</t>
        </is>
      </c>
      <c r="AI28" t="inlineStr">
        <is>
          <t>Yes</t>
        </is>
      </c>
      <c r="AJ28" t="inlineStr">
        <is>
          <t>AI/ML ops, AI Product Manager</t>
        </is>
      </c>
      <c r="AK28" s="17" t="inlineStr">
        <is>
          <t>Client D</t>
        </is>
      </c>
      <c r="AL28" s="17" t="inlineStr">
        <is>
          <t>Masked Person 11</t>
        </is>
      </c>
    </row>
    <row r="29" hidden="1" ht="43.5" customHeight="1" s="350">
      <c r="A29" t="inlineStr">
        <is>
          <t>Masked Person 44</t>
        </is>
      </c>
      <c r="B29" s="25" t="inlineStr">
        <is>
          <t>Male</t>
        </is>
      </c>
      <c r="C29" t="inlineStr">
        <is>
          <t>Intern (CS) 1</t>
        </is>
      </c>
      <c r="D29" t="inlineStr">
        <is>
          <t>Benching for 10 week(s)</t>
        </is>
      </c>
      <c r="E29" s="14" t="n">
        <v>0</v>
      </c>
      <c r="F29" s="14" t="n">
        <v>0</v>
      </c>
      <c r="G29" s="14" t="n">
        <v>0</v>
      </c>
      <c r="H29" s="14" t="n">
        <v>0</v>
      </c>
      <c r="I29" s="14" t="n">
        <v>0</v>
      </c>
      <c r="J29" s="14" t="n">
        <v>0</v>
      </c>
      <c r="K29" s="14" t="n">
        <v>0</v>
      </c>
      <c r="L29" s="14" t="n">
        <v>0</v>
      </c>
      <c r="M29" s="14" t="n">
        <v>0</v>
      </c>
      <c r="N29" s="14" t="n">
        <v>0</v>
      </c>
      <c r="O29" s="41" t="inlineStr">
        <is>
          <t>July - Jan 2027 - Platform C1 100%
June 2026 - Apr 2027 Client C 100%
Internship until 30 Apr 2027</t>
        </is>
      </c>
      <c r="P29" s="2">
        <f>IF($G29&gt;=100%,"NA",IF(G29=0%,"Bench","Partial Bench"))</f>
        <v/>
      </c>
      <c r="Q29" s="153" t="n">
        <v>0</v>
      </c>
      <c r="R29" s="153" t="n">
        <v>0</v>
      </c>
      <c r="S29" s="153" t="n">
        <v>0</v>
      </c>
      <c r="T29" s="153" t="n">
        <v>0</v>
      </c>
      <c r="U29" s="35" t="n">
        <v>100</v>
      </c>
      <c r="V29" s="40" t="n">
        <v>46509</v>
      </c>
      <c r="W29" s="15" t="inlineStr">
        <is>
          <t>EP</t>
        </is>
      </c>
      <c r="X29" s="16" t="inlineStr">
        <is>
          <t>Intern - Data Scientist &amp; Developer
Data/Business Analyst</t>
        </is>
      </c>
      <c r="Y29" s="16" t="inlineStr">
        <is>
          <t>Python, Azure, Machine Learning, LLM, SQL, C++, Data structures &amp; Algorithms, 
Python, C, C++, SQL, Agile Framework,
PostgreSQL, Postman, Excel, Powerpoint</t>
        </is>
      </c>
      <c r="Z29" s="16" t="inlineStr">
        <is>
          <t>JIRA, Dell Smartsheets
Machine Learning, Deep Learning, Data Visualisation</t>
        </is>
      </c>
      <c r="AA29" s="41">
        <f t="array" ref="AA29">_xlfn.TEXTJOIN(", ",TRUE,_xlfn._xlws.FILTER($AB$1:$AI$1,$AB29:$AI29="Yes"))</f>
        <v/>
      </c>
      <c r="AB29" s="16" t="inlineStr">
        <is>
          <t>Yes</t>
        </is>
      </c>
      <c r="AC29" s="16" t="n"/>
      <c r="AD29" s="16" t="n"/>
      <c r="AE29" s="16" t="inlineStr">
        <is>
          <t>Yes</t>
        </is>
      </c>
      <c r="AF29" s="16" t="n"/>
      <c r="AG29" s="16" t="n"/>
      <c r="AH29" s="16" t="inlineStr">
        <is>
          <t>Yes</t>
        </is>
      </c>
      <c r="AI29" s="16" t="n"/>
      <c r="AJ29" s="16" t="inlineStr">
        <is>
          <t>AI/ML Engineer
Data Scientist/ ML Engineer</t>
        </is>
      </c>
      <c r="AK29" s="15" t="inlineStr">
        <is>
          <t>Client C - Platform C1 - Implementation Release 2 and 3 - ENG-014</t>
        </is>
      </c>
      <c r="AL29" t="inlineStr">
        <is>
          <t>Masked Person 61</t>
        </is>
      </c>
    </row>
    <row r="30" hidden="1" ht="43.5" customHeight="1" s="350">
      <c r="A30" t="inlineStr">
        <is>
          <t>Masked Person 45</t>
        </is>
      </c>
      <c r="B30" s="25" t="inlineStr">
        <is>
          <t>Male</t>
        </is>
      </c>
      <c r="C30" t="inlineStr">
        <is>
          <t>Intern (CS) 1</t>
        </is>
      </c>
      <c r="D30" t="inlineStr">
        <is>
          <t>Coming on bench in 0 week(s)</t>
        </is>
      </c>
      <c r="E30" s="14" t="n">
        <v>0</v>
      </c>
      <c r="F30" s="14" t="n">
        <v>0</v>
      </c>
      <c r="G30" s="14" t="n">
        <v>1.03191</v>
      </c>
      <c r="H30" s="14" t="n">
        <v>0</v>
      </c>
      <c r="I30" s="14" t="n">
        <v>0</v>
      </c>
      <c r="J30" s="14" t="n">
        <v>0</v>
      </c>
      <c r="K30" s="14" t="n">
        <v>0</v>
      </c>
      <c r="L30" s="14" t="n">
        <v>0</v>
      </c>
      <c r="M30" s="14" t="n">
        <v>0</v>
      </c>
      <c r="N30" s="14" t="n">
        <v>0</v>
      </c>
      <c r="O30" s="41" t="inlineStr">
        <is>
          <t>Jul - Aug 2026 - Client I 100%, Sep - Dec 2026 Client J 100%
May - Aug 14 2026 - Client I 100%
Internship ending 18 September 2026</t>
        </is>
      </c>
      <c r="P30" s="2">
        <f>IF($G30&gt;=100%,"NA",IF(G30=0%,"Bench","Partial Bench"))</f>
        <v/>
      </c>
      <c r="Q30" s="153" t="n">
        <v>0</v>
      </c>
      <c r="R30" s="153" t="n">
        <v>0</v>
      </c>
      <c r="S30" s="153" t="n">
        <v>0</v>
      </c>
      <c r="T30" s="153" t="n">
        <v>0</v>
      </c>
      <c r="U30" s="32" t="n"/>
      <c r="V30" s="40" t="n">
        <v>46265</v>
      </c>
      <c r="W30" t="inlineStr">
        <is>
          <t>EP</t>
        </is>
      </c>
      <c r="X30" s="16" t="inlineStr">
        <is>
          <t>Intern
Full Stack Developer</t>
        </is>
      </c>
      <c r="Y30" s="16" t="inlineStr">
        <is>
          <t>React, Python, Microsoft Fabric, RAG, AI Agents
React, Node.js, JavaScript, REST APIs, HTML, CSS</t>
        </is>
      </c>
      <c r="Z30" s="16" t="inlineStr">
        <is>
          <t>Claude Code, Cloud, Networking, Security
Python, SQL, Git, AI Tools (Claude, GPT), Cloud</t>
        </is>
      </c>
      <c r="AA30" s="41">
        <f t="array" ref="AA30">_xlfn.TEXTJOIN(", ",TRUE,_xlfn._xlws.FILTER($AB$1:$AI$1,$AB30:$AI30="Yes"))</f>
        <v/>
      </c>
      <c r="AB30" s="16" t="n"/>
      <c r="AC30" s="16" t="n"/>
      <c r="AD30" s="16" t="n"/>
      <c r="AE30" s="16" t="inlineStr">
        <is>
          <t>Yes</t>
        </is>
      </c>
      <c r="AF30" s="16" t="n"/>
      <c r="AG30" s="16" t="n"/>
      <c r="AH30" s="16" t="n"/>
      <c r="AI30" s="16" t="inlineStr">
        <is>
          <t>Yes</t>
        </is>
      </c>
      <c r="AJ30" s="15" t="inlineStr">
        <is>
          <t>Product Manager</t>
        </is>
      </c>
      <c r="AK30" s="15" t="inlineStr">
        <is>
          <t>Project I1 100%</t>
        </is>
      </c>
      <c r="AL30" s="15" t="inlineStr">
        <is>
          <t>Masked Person 29</t>
        </is>
      </c>
    </row>
    <row r="31" ht="15" customHeight="1" s="350">
      <c r="A31" t="inlineStr">
        <is>
          <t>Masked Person 46</t>
        </is>
      </c>
      <c r="B31" s="25" t="inlineStr">
        <is>
          <t>Female</t>
        </is>
      </c>
      <c r="C31" t="inlineStr">
        <is>
          <t>Senior 3</t>
        </is>
      </c>
      <c r="D31" t="inlineStr">
        <is>
          <t>Coming on bench in 15 week(s)</t>
        </is>
      </c>
      <c r="E31" s="14" t="n">
        <v>1</v>
      </c>
      <c r="F31" s="14" t="n">
        <v>1</v>
      </c>
      <c r="G31" s="14" t="n">
        <v>1</v>
      </c>
      <c r="H31" s="14" t="n">
        <v>1</v>
      </c>
      <c r="I31" s="14" t="n">
        <v>1</v>
      </c>
      <c r="J31" s="14" t="n">
        <v>1</v>
      </c>
      <c r="K31" s="14" t="n">
        <v>1</v>
      </c>
      <c r="L31" s="14" t="n">
        <v>1</v>
      </c>
      <c r="M31" s="14" t="n">
        <v>1</v>
      </c>
      <c r="N31" s="14" t="n">
        <v>1</v>
      </c>
      <c r="O31" s="41" t="inlineStr">
        <is>
          <t>May - Jan 2027 - Client B System B1
Jan - Dec 2026 Client B 100%</t>
        </is>
      </c>
      <c r="P31" s="2">
        <f>IF($G31&gt;=100%,"NA",IF(G31=0%,"Bench","Partial Bench"))</f>
        <v/>
      </c>
      <c r="Q31" s="153" t="n">
        <v>0</v>
      </c>
      <c r="R31" s="153" t="n">
        <v>0</v>
      </c>
      <c r="S31" s="153" t="n">
        <v>0</v>
      </c>
      <c r="T31" s="153" t="n">
        <v>0</v>
      </c>
      <c r="U31" s="34" t="n">
        <v>1</v>
      </c>
      <c r="V31" s="40" t="n">
        <v>46388</v>
      </c>
      <c r="W31" s="15" t="inlineStr">
        <is>
          <t>Singaporean</t>
        </is>
      </c>
      <c r="X31" s="15" t="inlineStr">
        <is>
          <t>Data Engineer</t>
        </is>
      </c>
      <c r="Y31" s="16" t="inlineStr">
        <is>
          <t>MSSQL, SAS, SPSS, Python, Power BI
SAS, SQL, Power BI, Python</t>
        </is>
      </c>
      <c r="Z31" s="16" t="inlineStr">
        <is>
          <t>Alibaba, Tableau
Alibaba's Platform for AI</t>
        </is>
      </c>
      <c r="AA31" s="41">
        <f t="array" ref="AA31">_xlfn.TEXTJOIN(", ",TRUE,_xlfn._xlws.FILTER($AB$1:$AI$1,$AB31:$AI31="Yes"))</f>
        <v/>
      </c>
      <c r="AB31" s="16" t="inlineStr">
        <is>
          <t>Yes</t>
        </is>
      </c>
      <c r="AC31" s="16" t="n"/>
      <c r="AD31" s="16" t="inlineStr">
        <is>
          <t>Yes</t>
        </is>
      </c>
      <c r="AE31" s="16" t="inlineStr">
        <is>
          <t>Yes</t>
        </is>
      </c>
      <c r="AF31" s="16" t="n"/>
      <c r="AG31" s="16" t="n"/>
      <c r="AH31" s="16" t="n"/>
      <c r="AI31" s="16" t="n"/>
      <c r="AJ31" s="16" t="inlineStr">
        <is>
          <t>Data engineer/ Data analyst
Data Scientist, Business Analyst</t>
        </is>
      </c>
      <c r="AK31" s="15" t="inlineStr">
        <is>
          <t>Client B - System B1 SR 2025 &amp; 2026 - ENG-009</t>
        </is>
      </c>
      <c r="AL31" t="inlineStr">
        <is>
          <t>Masked Person 11</t>
        </is>
      </c>
    </row>
    <row r="32" hidden="1" ht="43.5" customHeight="1" s="350">
      <c r="A32" t="inlineStr">
        <is>
          <t>Masked Person 49</t>
        </is>
      </c>
      <c r="B32" s="25" t="inlineStr">
        <is>
          <t>Male</t>
        </is>
      </c>
      <c r="C32" t="inlineStr">
        <is>
          <t>Intern (CS) 1</t>
        </is>
      </c>
      <c r="D32" t="inlineStr">
        <is>
          <t>Coming on bench in 32 week(s)</t>
        </is>
      </c>
      <c r="E32" s="14" t="n">
        <v>1.05809</v>
      </c>
      <c r="F32" s="14" t="n">
        <v>1.05809</v>
      </c>
      <c r="G32" s="14" t="n">
        <v>1.05809</v>
      </c>
      <c r="H32" s="14" t="n">
        <v>1.05809</v>
      </c>
      <c r="I32" s="14" t="n">
        <v>1.05809</v>
      </c>
      <c r="J32" s="14" t="n">
        <v>1.05809</v>
      </c>
      <c r="K32" s="14" t="n">
        <v>1.05809</v>
      </c>
      <c r="L32" s="14" t="n">
        <v>1.05809</v>
      </c>
      <c r="M32" s="14" t="n">
        <v>1.05809</v>
      </c>
      <c r="N32" s="14" t="n">
        <v>1.05809</v>
      </c>
      <c r="O32" s="41" t="inlineStr">
        <is>
          <t>May 2026 - Apr 2027 - Client A 100%
Internship until April 2027</t>
        </is>
      </c>
      <c r="P32" s="2">
        <f>IF($G32&gt;=100%,"NA",IF(G32=0%,"Bench","Partial Bench"))</f>
        <v/>
      </c>
      <c r="Q32" s="153" t="n">
        <v>0</v>
      </c>
      <c r="R32" s="153" t="n">
        <v>0</v>
      </c>
      <c r="S32" s="153" t="n">
        <v>0</v>
      </c>
      <c r="T32" s="153" t="n">
        <v>0</v>
      </c>
      <c r="U32" s="35" t="n"/>
      <c r="V32" s="40" t="n"/>
      <c r="W32" s="15" t="inlineStr">
        <is>
          <t>Student pass</t>
        </is>
      </c>
      <c r="X32" s="15" t="inlineStr">
        <is>
          <t>Data Engineer</t>
        </is>
      </c>
      <c r="Y32" s="15" t="inlineStr">
        <is>
          <t>Python, SQL, Excel, PySpark</t>
        </is>
      </c>
      <c r="Z32" s="15" t="inlineStr">
        <is>
          <t>GCP, Git, Azure</t>
        </is>
      </c>
      <c r="AA32" s="41">
        <f t="array" ref="AA32">_xlfn.TEXTJOIN(", ",TRUE,_xlfn._xlws.FILTER($AB$1:$AI$1,$AB32:$AI32="Yes"))</f>
        <v/>
      </c>
      <c r="AB32" s="15" t="inlineStr">
        <is>
          <t>Yes</t>
        </is>
      </c>
      <c r="AC32" s="15" t="n"/>
      <c r="AD32" s="15" t="inlineStr">
        <is>
          <t>Yes</t>
        </is>
      </c>
      <c r="AE32" s="15" t="n"/>
      <c r="AF32" s="15" t="n"/>
      <c r="AG32" s="15" t="n"/>
      <c r="AH32" s="15" t="n"/>
      <c r="AI32" s="15" t="inlineStr">
        <is>
          <t>Yes</t>
        </is>
      </c>
      <c r="AJ32" s="15" t="inlineStr">
        <is>
          <t>Data engineer, Data Analyst</t>
        </is>
      </c>
      <c r="AK32" s="29" t="inlineStr">
        <is>
          <t>Client A - Platform A1 (GovCloud) - ENG-017</t>
        </is>
      </c>
      <c r="AL32" s="15" t="inlineStr">
        <is>
          <t>Masked Person 1</t>
        </is>
      </c>
    </row>
    <row r="33" ht="15" customHeight="1" s="350">
      <c r="A33" t="inlineStr">
        <is>
          <t>Masked Person 52</t>
        </is>
      </c>
      <c r="B33" s="25" t="inlineStr">
        <is>
          <t>Female</t>
        </is>
      </c>
      <c r="C33" t="inlineStr">
        <is>
          <t>Staff/Assistant 2</t>
        </is>
      </c>
      <c r="D33" t="inlineStr">
        <is>
          <t>Benching for 10 week(s)</t>
        </is>
      </c>
      <c r="E33" s="14" t="n">
        <v>0</v>
      </c>
      <c r="F33" s="14" t="n">
        <v>0</v>
      </c>
      <c r="G33" s="14" t="n">
        <v>0</v>
      </c>
      <c r="H33" s="14" t="n">
        <v>0</v>
      </c>
      <c r="I33" s="14" t="n">
        <v>0</v>
      </c>
      <c r="J33" s="14" t="n">
        <v>0</v>
      </c>
      <c r="K33" s="14" t="n">
        <v>0</v>
      </c>
      <c r="L33" s="14" t="n">
        <v>0</v>
      </c>
      <c r="M33" s="14" t="n">
        <v>0</v>
      </c>
      <c r="N33" s="14" t="n">
        <v>0</v>
      </c>
      <c r="O33" s="126" t="inlineStr">
        <is>
          <t>Aug - Jan 2027 - Platform C1 - Implementation Release 2 and 3 ENG-014 100% 
Jul2026-Jul2030, 100% for Platform C1</t>
        </is>
      </c>
      <c r="P33" s="2">
        <f>IF($G33&gt;=100%,"NA",IF(G33=0%,"Bench","Partial Bench"))</f>
        <v/>
      </c>
      <c r="Q33" s="153" t="n">
        <v>0</v>
      </c>
      <c r="R33" s="153" t="n">
        <v>0</v>
      </c>
      <c r="S33" s="153" t="n">
        <v>0</v>
      </c>
      <c r="T33" s="153" t="n">
        <v>0</v>
      </c>
      <c r="U33" s="38" t="n">
        <v>1</v>
      </c>
      <c r="V33" t="inlineStr">
        <is>
          <t>12/31/2027</t>
        </is>
      </c>
      <c r="W33" t="inlineStr">
        <is>
          <t>LTVP</t>
        </is>
      </c>
      <c r="X33" t="inlineStr">
        <is>
          <t>Data Engineer</t>
        </is>
      </c>
      <c r="Y33" t="inlineStr">
        <is>
          <t>Azure, SQL, Python</t>
        </is>
      </c>
      <c r="Z33" t="inlineStr">
        <is>
          <t>JIRA, Power BI</t>
        </is>
      </c>
      <c r="AA33" s="41">
        <f t="array" ref="AA33">_xlfn.TEXTJOIN(", ",TRUE,_xlfn._xlws.FILTER($AB$1:$AI$1,$AB33:$AI33="Yes"))</f>
        <v/>
      </c>
      <c r="AB33" s="15" t="inlineStr">
        <is>
          <t>Yes</t>
        </is>
      </c>
      <c r="AD33" s="15" t="inlineStr">
        <is>
          <t>Yes</t>
        </is>
      </c>
      <c r="AH33" t="inlineStr">
        <is>
          <t>Yes</t>
        </is>
      </c>
      <c r="AI33" s="15" t="inlineStr">
        <is>
          <t>Yes</t>
        </is>
      </c>
      <c r="AJ33" t="inlineStr">
        <is>
          <t>Cloud Engineer</t>
        </is>
      </c>
      <c r="AK33" s="14" t="inlineStr">
        <is>
          <t>Platform C1 project (ENG-014, Platform C1 - Implementation Release 2 and 3)</t>
        </is>
      </c>
      <c r="AL33" t="inlineStr">
        <is>
          <t>Masked Person 61</t>
        </is>
      </c>
    </row>
    <row r="34" ht="15" customHeight="1" s="350">
      <c r="A34" t="inlineStr">
        <is>
          <t>Masked Person 53</t>
        </is>
      </c>
      <c r="B34" s="25" t="inlineStr">
        <is>
          <t>Male</t>
        </is>
      </c>
      <c r="C34" t="inlineStr">
        <is>
          <t>Senior 1</t>
        </is>
      </c>
      <c r="D34" t="inlineStr">
        <is>
          <t>Coming on bench in 15 week(s)</t>
        </is>
      </c>
      <c r="E34" s="14" t="n">
        <v>1</v>
      </c>
      <c r="F34" s="14" t="n">
        <v>1</v>
      </c>
      <c r="G34" s="14" t="n">
        <v>1</v>
      </c>
      <c r="H34" s="14" t="n">
        <v>1</v>
      </c>
      <c r="I34" s="14" t="n">
        <v>1</v>
      </c>
      <c r="J34" s="14" t="n">
        <v>1</v>
      </c>
      <c r="K34" s="14" t="n">
        <v>1</v>
      </c>
      <c r="L34" s="14" t="n">
        <v>1</v>
      </c>
      <c r="M34" s="14" t="n">
        <v>1</v>
      </c>
      <c r="N34" s="14" t="n">
        <v>1</v>
      </c>
      <c r="O34" s="41" t="inlineStr">
        <is>
          <t>Jul 2026 - Jan 2027 - Client B 100%
Jan - Dec 2026 Client B 100%</t>
        </is>
      </c>
      <c r="P34" s="2">
        <f>IF($G34&gt;=100%,"NA",IF(G34=0%,"Bench","Partial Bench"))</f>
        <v/>
      </c>
      <c r="Q34" s="153" t="n">
        <v>0</v>
      </c>
      <c r="R34" s="153" t="n">
        <v>0</v>
      </c>
      <c r="S34" s="153" t="n">
        <v>0</v>
      </c>
      <c r="T34" s="153" t="n">
        <v>0</v>
      </c>
      <c r="U34" s="32" t="n"/>
      <c r="V34" s="40" t="n">
        <v>46374</v>
      </c>
      <c r="W34" s="15" t="inlineStr">
        <is>
          <t>PR</t>
        </is>
      </c>
      <c r="X34" s="15" t="inlineStr">
        <is>
          <t>Infrastructure &amp; Platform Engineer</t>
        </is>
      </c>
      <c r="Y34" s="16" t="inlineStr">
        <is>
          <t>AWS, Linux / Windows OS, Bash Scripting, SQL, SAS Viya
RHEL, SQL, Hyper-V, CIS, Nessus / VAPT remediation, Bash, PowerShell, AWS</t>
        </is>
      </c>
      <c r="Z34" s="16" t="inlineStr">
        <is>
          <t>Azure, AD, Docker, AppDynamics
Azure, Nutanix, Ansible, SAS 9.4, SAS Viya 3.5, Splunk, NetBackup, Commvault, Windows Server administration</t>
        </is>
      </c>
      <c r="AA34" s="41">
        <f t="array" ref="AA34">_xlfn.TEXTJOIN(", ",TRUE,_xlfn._xlws.FILTER($AB$1:$AI$1,$AB34:$AI34="Yes"))</f>
        <v/>
      </c>
      <c r="AB34" s="16" t="n"/>
      <c r="AC34" s="16" t="n"/>
      <c r="AD34" s="16" t="n"/>
      <c r="AE34" s="16" t="n"/>
      <c r="AF34" s="16" t="n"/>
      <c r="AG34" s="16" t="inlineStr">
        <is>
          <t>Yes</t>
        </is>
      </c>
      <c r="AH34" s="16" t="n"/>
      <c r="AI34" s="16" t="inlineStr">
        <is>
          <t>Yes</t>
        </is>
      </c>
      <c r="AJ34" s="16" t="inlineStr">
        <is>
          <t>Cloud Engineer
Data Solution Architect</t>
        </is>
      </c>
      <c r="AK34" s="15" t="inlineStr">
        <is>
          <t>Client B - System B1 Maintenance Yr 4 - ENG-013
Client B - System B1 Maintenance &amp; Support YR 2 to 5 - ENG-006</t>
        </is>
      </c>
      <c r="AL34" t="inlineStr">
        <is>
          <t>Masked Person 11</t>
        </is>
      </c>
    </row>
    <row r="35" ht="15" customHeight="1" s="350">
      <c r="A35" t="inlineStr">
        <is>
          <t>Masked Person 55</t>
        </is>
      </c>
      <c r="B35" s="25" t="inlineStr">
        <is>
          <t>Male</t>
        </is>
      </c>
      <c r="C35" t="inlineStr">
        <is>
          <t>Manager 3</t>
        </is>
      </c>
      <c r="D35" t="inlineStr">
        <is>
          <t>Benching for 7 week(s)</t>
        </is>
      </c>
      <c r="E35" s="14" t="n">
        <v>0</v>
      </c>
      <c r="F35" s="14" t="n">
        <v>0</v>
      </c>
      <c r="G35" s="14" t="n">
        <v>0</v>
      </c>
      <c r="H35" s="14" t="n">
        <v>0</v>
      </c>
      <c r="I35" s="14" t="n">
        <v>0</v>
      </c>
      <c r="J35" s="14" t="n">
        <v>0</v>
      </c>
      <c r="K35" s="14" t="n">
        <v>0</v>
      </c>
      <c r="L35" s="14" t="n">
        <v>0</v>
      </c>
      <c r="M35" s="14" t="n">
        <v>0</v>
      </c>
      <c r="N35" s="14" t="n">
        <v>0</v>
      </c>
      <c r="O35" s="123" t="inlineStr">
        <is>
          <t>Jan - Oct 2026 - Platform C1 60%</t>
        </is>
      </c>
      <c r="P35" s="2">
        <f>IF($G35&gt;=100%,"NA",IF(G35=0%,"Bench","Partial Bench"))</f>
        <v/>
      </c>
      <c r="Q35" s="153" t="n">
        <v>0.2</v>
      </c>
      <c r="R35" s="153" t="n">
        <v>0.2</v>
      </c>
      <c r="S35" s="153" t="n">
        <v>0.2</v>
      </c>
      <c r="T35" s="153" t="n">
        <v>0.8</v>
      </c>
      <c r="U35" s="32" t="n"/>
      <c r="V35" s="40" t="n"/>
      <c r="W35" s="15" t="inlineStr">
        <is>
          <t>PR</t>
        </is>
      </c>
      <c r="X35" s="15" t="inlineStr">
        <is>
          <t>Technical Lead</t>
        </is>
      </c>
      <c r="Y35" s="15" t="inlineStr">
        <is>
          <t>AWS, Azure, Hadoop, Cloudera, Azure Synapse Analytics</t>
        </is>
      </c>
      <c r="Z35" s="15" t="inlineStr">
        <is>
          <t>Microsoft SQL Server, Java, Visual Basic, Git, PySpark</t>
        </is>
      </c>
      <c r="AA35" s="41">
        <f t="array" ref="AA35">_xlfn.TEXTJOIN(", ",TRUE,_xlfn._xlws.FILTER($AB$1:$AI$1,$AB35:$AI35="Yes"))</f>
        <v/>
      </c>
      <c r="AB35" s="15" t="inlineStr">
        <is>
          <t>Yes</t>
        </is>
      </c>
      <c r="AC35" s="15" t="n"/>
      <c r="AD35" s="15" t="n"/>
      <c r="AE35" s="15" t="n"/>
      <c r="AF35" s="15" t="n"/>
      <c r="AG35" s="15" t="n"/>
      <c r="AH35" s="15" t="n"/>
      <c r="AI35" s="15" t="inlineStr">
        <is>
          <t>Yes</t>
        </is>
      </c>
      <c r="AJ35" s="15" t="inlineStr">
        <is>
          <t>-</t>
        </is>
      </c>
      <c r="AK35" s="15" t="inlineStr">
        <is>
          <t>Client C - Platform C1 - Implementation Release 2 and 3 - ENG-014</t>
        </is>
      </c>
      <c r="AL35" t="inlineStr">
        <is>
          <t>Masked Person 61</t>
        </is>
      </c>
    </row>
    <row r="36" ht="15" customHeight="1" s="350">
      <c r="A36" t="inlineStr">
        <is>
          <t>Masked Person 57</t>
        </is>
      </c>
      <c r="B36" s="25" t="inlineStr">
        <is>
          <t>Female</t>
        </is>
      </c>
      <c r="C36" t="inlineStr">
        <is>
          <t>Manager 3</t>
        </is>
      </c>
      <c r="D36" t="inlineStr">
        <is>
          <t>Coming on bench in 16 week(s)</t>
        </is>
      </c>
      <c r="E36" s="14" t="n">
        <v>1.06164</v>
      </c>
      <c r="F36" s="14" t="n">
        <v>1.06164</v>
      </c>
      <c r="G36" s="14" t="n">
        <v>1.06164</v>
      </c>
      <c r="H36" s="14" t="n">
        <v>1.06164</v>
      </c>
      <c r="I36" s="14" t="n">
        <v>1.06164</v>
      </c>
      <c r="J36" s="14" t="n">
        <v>1.06164</v>
      </c>
      <c r="K36" s="14" t="n">
        <v>1.06164</v>
      </c>
      <c r="L36" s="14" t="n">
        <v>1.06164</v>
      </c>
      <c r="M36" s="14" t="n">
        <v>1.06164</v>
      </c>
      <c r="N36" s="14" t="n">
        <v>1.06164</v>
      </c>
      <c r="O36" s="123" t="inlineStr">
        <is>
          <t>August 2026 - April 2027 - Project K1 100%</t>
        </is>
      </c>
      <c r="P36" s="2">
        <f>IF($G36&gt;=100%,"NA",IF(G36=0%,"Bench","Partial Bench"))</f>
        <v/>
      </c>
      <c r="Q36" s="153" t="n">
        <v>0</v>
      </c>
      <c r="R36" s="153" t="n">
        <v>0</v>
      </c>
      <c r="S36" s="153" t="n">
        <v>0</v>
      </c>
      <c r="T36" s="153" t="n">
        <v>0</v>
      </c>
      <c r="U36" s="32" t="n">
        <v>0</v>
      </c>
      <c r="V36" s="40" t="n"/>
      <c r="W36" s="15" t="inlineStr">
        <is>
          <t>EP</t>
        </is>
      </c>
      <c r="X36" s="15" t="inlineStr">
        <is>
          <t>AI Strategy Project Lead, Service Delivery Lead, Technical Project Manager</t>
        </is>
      </c>
      <c r="Y36" s="15" t="inlineStr">
        <is>
          <t>SAP, Tricentis and HP project management tools, Project Management, AI Strategy and planning</t>
        </is>
      </c>
      <c r="Z36" s="15" t="inlineStr">
        <is>
          <t>Onestream, Outsystems, LoadRunner, Katalon, JIRA, ADO, ALM</t>
        </is>
      </c>
      <c r="AA36" s="41">
        <f t="array" ref="AA36">_xlfn.TEXTJOIN(", ",TRUE,_xlfn._xlws.FILTER($AB$1:$AI$1,$AB36:$AI36="Yes"))</f>
        <v/>
      </c>
      <c r="AB36" s="15" t="n"/>
      <c r="AC36" s="15" t="n"/>
      <c r="AD36" s="15" t="n"/>
      <c r="AE36" s="15" t="inlineStr">
        <is>
          <t>Yes</t>
        </is>
      </c>
      <c r="AF36" s="15" t="n"/>
      <c r="AG36" s="15" t="n"/>
      <c r="AH36" s="15" t="inlineStr">
        <is>
          <t>Yes</t>
        </is>
      </c>
      <c r="AI36" s="15" t="n"/>
      <c r="AJ36" s="15" t="inlineStr">
        <is>
          <t>Data Governance</t>
        </is>
      </c>
      <c r="AK36" s="15" t="inlineStr">
        <is>
          <t>Client K XP&amp;A_CNS_FY26 - ENG-015</t>
        </is>
      </c>
      <c r="AL36" s="15" t="inlineStr">
        <is>
          <t>Masked Person 58</t>
        </is>
      </c>
    </row>
    <row r="37" ht="15" customHeight="1" s="350">
      <c r="A37" t="inlineStr">
        <is>
          <t>Masked Person 59</t>
        </is>
      </c>
      <c r="B37" s="25" t="inlineStr">
        <is>
          <t>Male</t>
        </is>
      </c>
      <c r="C37" t="inlineStr">
        <is>
          <t>Staff/Assistant 2</t>
        </is>
      </c>
      <c r="D37" t="inlineStr">
        <is>
          <t>Coming on bench in 15 week(s)</t>
        </is>
      </c>
      <c r="E37" s="14" t="n">
        <v>1.06557</v>
      </c>
      <c r="F37" s="14" t="n">
        <v>1.06557</v>
      </c>
      <c r="G37" s="14" t="n">
        <v>1.06557</v>
      </c>
      <c r="H37" s="14" t="n">
        <v>1.06557</v>
      </c>
      <c r="I37" s="14" t="n">
        <v>1.06557</v>
      </c>
      <c r="J37" s="14" t="n">
        <v>1.06557</v>
      </c>
      <c r="K37" s="14" t="n">
        <v>1.06557</v>
      </c>
      <c r="L37" s="14" t="n">
        <v>1.06557</v>
      </c>
      <c r="M37" s="14" t="n">
        <v>1.06557</v>
      </c>
      <c r="N37" s="14" t="n">
        <v>1.06557</v>
      </c>
      <c r="O37" s="122" t="inlineStr">
        <is>
          <t>Jan - Dec 2026 - Client A 100%</t>
        </is>
      </c>
      <c r="P37" s="2">
        <f>IF($G37&gt;=100%,"NA",IF(G37=0%,"Bench","Partial Bench"))</f>
        <v/>
      </c>
      <c r="Q37" s="153" t="n">
        <v>0</v>
      </c>
      <c r="R37" s="153" t="n">
        <v>0</v>
      </c>
      <c r="S37" s="153" t="n">
        <v>0</v>
      </c>
      <c r="T37" s="153" t="n">
        <v>1</v>
      </c>
      <c r="U37" s="32" t="n"/>
      <c r="V37" s="40" t="n">
        <v>46418</v>
      </c>
      <c r="W37" s="15" t="inlineStr">
        <is>
          <t>LTVP</t>
        </is>
      </c>
      <c r="X37" s="15" t="inlineStr">
        <is>
          <t>Data Engineer</t>
        </is>
      </c>
      <c r="Y37" s="16" t="inlineStr">
        <is>
          <t>Pyspark
PySpark, Azure Data Factory</t>
        </is>
      </c>
      <c r="Z37" s="16" t="inlineStr">
        <is>
          <t>SQL, Azure
Azure Cloud, SQLa</t>
        </is>
      </c>
      <c r="AA37" s="41">
        <f t="array" ref="AA37">_xlfn.TEXTJOIN(", ",TRUE,_xlfn._xlws.FILTER($AB$1:$AI$1,$AB37:$AI37="Yes"))</f>
        <v/>
      </c>
      <c r="AB37" s="16" t="inlineStr">
        <is>
          <t>Yes</t>
        </is>
      </c>
      <c r="AC37" s="16" t="n"/>
      <c r="AD37" s="16" t="n"/>
      <c r="AE37" s="16" t="n"/>
      <c r="AF37" s="16" t="n"/>
      <c r="AG37" s="16" t="n"/>
      <c r="AH37" s="16" t="n"/>
      <c r="AI37" s="16" t="inlineStr">
        <is>
          <t>Yes</t>
        </is>
      </c>
      <c r="AJ37" s="15" t="inlineStr">
        <is>
          <t>Data Engineer</t>
        </is>
      </c>
      <c r="AK37" s="15" t="inlineStr">
        <is>
          <t>Client A - Platform A1 (GovCloud) - ENG-017</t>
        </is>
      </c>
      <c r="AL37" s="15" t="inlineStr">
        <is>
          <t>Masked Person 1</t>
        </is>
      </c>
    </row>
    <row r="38" ht="15" customHeight="1" s="350">
      <c r="A38" t="inlineStr">
        <is>
          <t>Masked Person 60</t>
        </is>
      </c>
      <c r="B38" s="25" t="inlineStr">
        <is>
          <t>Male</t>
        </is>
      </c>
      <c r="C38" t="inlineStr">
        <is>
          <t>Manager 1</t>
        </is>
      </c>
      <c r="D38" t="inlineStr">
        <is>
          <t>Coming on bench in 2 week(s)</t>
        </is>
      </c>
      <c r="E38" s="14" t="n">
        <v>0.340136666666667</v>
      </c>
      <c r="F38" s="14" t="n">
        <v>0.170068333333333</v>
      </c>
      <c r="G38" s="14" t="n">
        <v>1.02041</v>
      </c>
      <c r="H38" s="14" t="n">
        <v>1.02041</v>
      </c>
      <c r="I38" s="14" t="n">
        <v>1.02041</v>
      </c>
      <c r="J38" s="14" t="n">
        <v>0</v>
      </c>
      <c r="K38" s="14" t="n">
        <v>0</v>
      </c>
      <c r="L38" s="14" t="n">
        <v>0</v>
      </c>
      <c r="M38" s="14" t="n">
        <v>0</v>
      </c>
      <c r="N38" s="14" t="n">
        <v>0</v>
      </c>
      <c r="O38" s="122" t="inlineStr">
        <is>
          <t>Sep 2026 - Jan 2027 - none (TBD)
July 2026 - Aug 2026 - Project F2 100%
Jan - Jul 2026 Client C 100%
Jul - Oct 2026 Client C 50%</t>
        </is>
      </c>
      <c r="P38" s="2">
        <f>IF($G38&gt;=100%,"NA",IF(G38=0%,"Bench","Partial Bench"))</f>
        <v/>
      </c>
      <c r="Q38" s="153" t="n">
        <v>0</v>
      </c>
      <c r="R38" s="153" t="n">
        <v>0</v>
      </c>
      <c r="S38" s="153" t="n">
        <v>0</v>
      </c>
      <c r="T38" s="153" t="n">
        <v>0</v>
      </c>
      <c r="U38" s="35" t="n"/>
      <c r="V38" s="40" t="n">
        <v>46396</v>
      </c>
      <c r="W38" s="15" t="inlineStr">
        <is>
          <t>EP</t>
        </is>
      </c>
      <c r="X38" s="15" t="inlineStr">
        <is>
          <t>Technical Lead</t>
        </is>
      </c>
      <c r="Y38" s="16" t="inlineStr">
        <is>
          <t>Azure (Cloud, Data &amp; AI), AI/LLM systems and orchestration, Full Stack development (Node, Java, Python, JS/TS), Computer Vision/ML (Pytorch), Android Development (Kotlin, Java, Android Native with CPP)
Python, Java, Kotlin, JavaScript, TypeScript, Docker, SQL, No SQL
Fullstack Development with React FEs, Backend with Python, Node, Java, etc.
Android Application Development with Kotlin &amp; Java. Android Native with C++
Cloud: Azure
AI/ML: Pytorch, and pytorch based python libraries like OpenMMLabs, ultralytics etc. AI on Edge (Android, OnPrem: TensorRT)
LLM: Ollama, Langchain, LangGraph, etc.
Containerization and Orchestration: Docker, Kubernetes</t>
        </is>
      </c>
      <c r="Z38" s="15" t="inlineStr">
        <is>
          <t>Cloud: AWS
Data Engineering: PySpark, Synapse Analytics, Snowflake, Data Bricks
IAC: Terraform</t>
        </is>
      </c>
      <c r="AA38" s="41">
        <f t="array" ref="AA38">_xlfn.TEXTJOIN(", ",TRUE,_xlfn._xlws.FILTER($AB$1:$AI$1,$AB38:$AI38="Yes"))</f>
        <v/>
      </c>
      <c r="AB38" s="15" t="inlineStr">
        <is>
          <t>Yes</t>
        </is>
      </c>
      <c r="AC38" s="15" t="n"/>
      <c r="AD38" s="15" t="n"/>
      <c r="AE38" s="15" t="n"/>
      <c r="AF38" s="15" t="n"/>
      <c r="AG38" s="15" t="n"/>
      <c r="AH38" s="15" t="n"/>
      <c r="AI38" s="15" t="inlineStr">
        <is>
          <t>Yes</t>
        </is>
      </c>
      <c r="AJ38" s="16" t="inlineStr">
        <is>
          <t>AI Solution Architect
Devops, Docker, CI/CD, AWS
AI Solution Architect</t>
        </is>
      </c>
      <c r="AK38" s="16" t="inlineStr">
        <is>
          <t>ENG-023 (Project F2)
Client C - Platform C1 - Implementation Release 2 and 3 - ENG-014</t>
        </is>
      </c>
      <c r="AL38" s="23" t="inlineStr">
        <is>
          <t>Masked Person 29
Masked Person 61</t>
        </is>
      </c>
    </row>
    <row r="39" ht="15" customHeight="1" s="350">
      <c r="A39" t="inlineStr">
        <is>
          <t>Masked Person 63</t>
        </is>
      </c>
      <c r="B39" s="25" t="inlineStr">
        <is>
          <t>Male</t>
        </is>
      </c>
      <c r="C39" t="inlineStr">
        <is>
          <t>Staff/Assistant 2</t>
        </is>
      </c>
      <c r="D39" t="inlineStr">
        <is>
          <t>Coming on bench in 15 week(s)</t>
        </is>
      </c>
      <c r="E39" s="14" t="n">
        <v>1.02042</v>
      </c>
      <c r="F39" s="14" t="n">
        <v>1.02041083333333</v>
      </c>
      <c r="G39" s="14" t="n">
        <v>1.02042</v>
      </c>
      <c r="H39" s="14" t="n">
        <v>1.02042</v>
      </c>
      <c r="I39" s="14" t="n">
        <v>1.02042</v>
      </c>
      <c r="J39" s="14" t="n">
        <v>1.02042</v>
      </c>
      <c r="K39" s="14" t="n">
        <v>1.02042</v>
      </c>
      <c r="L39" s="14" t="n">
        <v>1.02042</v>
      </c>
      <c r="M39" s="14" t="n">
        <v>1.02042</v>
      </c>
      <c r="N39" s="14" t="n">
        <v>1.02042</v>
      </c>
      <c r="O39" s="23" t="inlineStr">
        <is>
          <t>Resigned &amp; last date is 28 aug 2026
Jan - Dec 2026 Client B 100%</t>
        </is>
      </c>
      <c r="P39" s="2">
        <f>IF($G39&gt;=100%,"NA",IF(G39=0%,"Bench","Partial Bench"))</f>
        <v/>
      </c>
      <c r="Q39" s="153" t="n">
        <v>0</v>
      </c>
      <c r="R39" s="153" t="n">
        <v>0</v>
      </c>
      <c r="S39" s="153" t="n">
        <v>0</v>
      </c>
      <c r="T39" s="153" t="n">
        <v>0</v>
      </c>
      <c r="U39" s="32" t="n"/>
      <c r="V39" s="40" t="n"/>
      <c r="W39" s="15" t="inlineStr">
        <is>
          <t>Singaporean</t>
        </is>
      </c>
      <c r="X39" s="15" t="inlineStr">
        <is>
          <t>Data Engineer</t>
        </is>
      </c>
      <c r="Y39" s="15" t="inlineStr">
        <is>
          <t>SQL (MSSQL, Postgres), SAS, Linux, Tableau, Metabase, SAS, Microsoft Office, Google Suite</t>
        </is>
      </c>
      <c r="Z39" s="15" t="inlineStr">
        <is>
          <t>Neo4j, Python, Neo4j (console, browser, Bloom), VS Studio, Github, Confluence, Figma, Canva, JIRA</t>
        </is>
      </c>
      <c r="AA39" s="41">
        <f t="array" ref="AA39">_xlfn.TEXTJOIN(", ",TRUE,_xlfn._xlws.FILTER($AB$1:$AI$1,$AB39:$AI39="Yes"))</f>
        <v/>
      </c>
      <c r="AB39" s="15" t="inlineStr">
        <is>
          <t>Yes</t>
        </is>
      </c>
      <c r="AC39" s="15" t="n"/>
      <c r="AD39" s="15" t="inlineStr">
        <is>
          <t>Yes</t>
        </is>
      </c>
      <c r="AE39" s="15" t="n"/>
      <c r="AF39" s="15" t="inlineStr">
        <is>
          <t>Yes</t>
        </is>
      </c>
      <c r="AG39" s="15" t="n"/>
      <c r="AH39" s="15" t="n"/>
      <c r="AI39" s="15" t="n"/>
      <c r="AJ39" s="15" t="inlineStr">
        <is>
          <t>Data Engineer</t>
        </is>
      </c>
      <c r="AK39" s="15" t="inlineStr">
        <is>
          <t>Client B - System B1 Maintenance &amp; Support YR 2 to 5 - ENG-006</t>
        </is>
      </c>
      <c r="AL39" t="inlineStr">
        <is>
          <t>Masked Person 11</t>
        </is>
      </c>
    </row>
    <row r="40" hidden="1" ht="43.5" customHeight="1" s="350">
      <c r="A40" t="inlineStr">
        <is>
          <t>Masked Person 64</t>
        </is>
      </c>
      <c r="B40" s="25" t="inlineStr">
        <is>
          <t>Female</t>
        </is>
      </c>
      <c r="C40" t="inlineStr">
        <is>
          <t>Intern (CS) 1</t>
        </is>
      </c>
      <c r="D40" t="inlineStr">
        <is>
          <t>Coming on bench in 3 week(s)</t>
        </is>
      </c>
      <c r="E40" s="14" t="n">
        <v>0.57299</v>
      </c>
      <c r="F40" s="14" t="n">
        <v>0.286495</v>
      </c>
      <c r="G40" s="14" t="n">
        <v>1.92144</v>
      </c>
      <c r="H40" s="14" t="n">
        <v>1.92144</v>
      </c>
      <c r="I40" s="14" t="n">
        <v>1.5165</v>
      </c>
      <c r="J40" s="14" t="n">
        <v>0</v>
      </c>
      <c r="K40" s="14" t="n">
        <v>0</v>
      </c>
      <c r="L40" s="14" t="n">
        <v>0</v>
      </c>
      <c r="M40" s="14" t="n">
        <v>0</v>
      </c>
      <c r="N40" s="14" t="n">
        <v>0</v>
      </c>
      <c r="O40" s="41" t="inlineStr">
        <is>
          <t>June 2026 - Client I 100%
June - Sept2026 - Client F 100%
Internship until 11 Dec</t>
        </is>
      </c>
      <c r="P40" s="2">
        <f>IF($G40&gt;=100%,"NA",IF(G40=0%,"Bench","Partial Bench"))</f>
        <v/>
      </c>
      <c r="Q40" s="153" t="n">
        <v>0</v>
      </c>
      <c r="R40" s="153" t="n">
        <v>0</v>
      </c>
      <c r="S40" s="153" t="n">
        <v>0</v>
      </c>
      <c r="T40" s="153" t="n">
        <v>0</v>
      </c>
      <c r="U40" s="35" t="n"/>
      <c r="V40" s="40" t="n">
        <v>46265</v>
      </c>
      <c r="W40" t="inlineStr">
        <is>
          <t>Singaporean</t>
        </is>
      </c>
      <c r="X40" t="inlineStr">
        <is>
          <t>Data and AI Intern, AI Developer, Full Stack Engineer</t>
        </is>
      </c>
      <c r="Y40" s="16" t="inlineStr">
        <is>
          <t>Languages: Python, Java, JavaScript, TypeScript, SQL, C, C++, Golang, PostgresSQL AI/ML: PyTorch, TensorFlow, NumPy, Pandas, HuggingFace, LangChain, OpenAI, Claude Full-Stack: React Native, Expo, Node.js Cloud: Microsoft Azure, AWS, Google Cloud, Railway, Supabase, Microsoft Onelake Developer Tools: Git/GitHub, Jest, Gradle 
Java, Python, TypeScript, React Native, PostgreSQL</t>
        </is>
      </c>
      <c r="Z40" s="16" t="inlineStr">
        <is>
          <t>Languages: Python, Java, JavaScript, TypeScript, SQL, C, C++, Golang, PostgresSQL AI/ML: PyTorch, TensorFlow, NumPy, Pandas, HuggingFace, LangChain, OpenAI, Claude Full-Stack: React Native, Expo, Node.js Cloud: Microsoft Azure, AWS, Google Cloud, Railway, Supabase, Microsoft Onelake Developer Tools: Git/GitHub, Jest, Gradle 
AI, Deep Learning, Data Modelling, Machine Learning</t>
        </is>
      </c>
      <c r="AA40" s="41">
        <f t="array" ref="AA40">_xlfn.TEXTJOIN(", ",TRUE,_xlfn._xlws.FILTER($AB$1:$AI$1,$AB40:$AI40="Yes"))</f>
        <v/>
      </c>
      <c r="AB40" s="16" t="inlineStr">
        <is>
          <t>Yes</t>
        </is>
      </c>
      <c r="AC40" s="16" t="n"/>
      <c r="AD40" s="16" t="n"/>
      <c r="AE40" s="16" t="inlineStr">
        <is>
          <t>Yes</t>
        </is>
      </c>
      <c r="AF40" s="16" t="n"/>
      <c r="AG40" s="16" t="n"/>
      <c r="AH40" s="16" t="n"/>
      <c r="AI40" s="16" t="n"/>
      <c r="AJ40" s="15" t="inlineStr">
        <is>
          <t>GenAI/AI Engineer, AI Analytics</t>
        </is>
      </c>
      <c r="AK40" s="15" t="inlineStr">
        <is>
          <t>Project F2, Project I1 - ENG-022, ENG-023 Project F2</t>
        </is>
      </c>
      <c r="AL40" s="15" t="inlineStr">
        <is>
          <t>Masked Person 29</t>
        </is>
      </c>
    </row>
    <row r="41" hidden="1" ht="43.5" customHeight="1" s="350">
      <c r="A41" t="inlineStr">
        <is>
          <t>Masked Person 66</t>
        </is>
      </c>
      <c r="B41" s="25" t="inlineStr">
        <is>
          <t>Male</t>
        </is>
      </c>
      <c r="C41" t="inlineStr">
        <is>
          <t>Intern (CS) 1</t>
        </is>
      </c>
      <c r="D41" t="inlineStr">
        <is>
          <t>Benching for 6 week(s)</t>
        </is>
      </c>
      <c r="E41" s="14" t="n">
        <v>0</v>
      </c>
      <c r="F41" s="14" t="n">
        <v>0</v>
      </c>
      <c r="G41" s="14" t="n">
        <v>0</v>
      </c>
      <c r="H41" s="14" t="n">
        <v>0</v>
      </c>
      <c r="I41" s="14" t="n">
        <v>0</v>
      </c>
      <c r="J41" s="14" t="n">
        <v>0</v>
      </c>
      <c r="K41" s="14" t="n">
        <v>0</v>
      </c>
      <c r="L41" s="14" t="n">
        <v>0</v>
      </c>
      <c r="M41" s="14" t="n">
        <v>0</v>
      </c>
      <c r="N41" s="14" t="n">
        <v>0</v>
      </c>
      <c r="O41" s="110" t="inlineStr">
        <is>
          <t>July - December 2026 - Client G
Mar - Aug 2026 - Client G
Internship until 11 December</t>
        </is>
      </c>
      <c r="P41" s="2">
        <f>IF($G41&gt;=100%,"NA",IF(G41=0%,"Bench","Partial Bench"))</f>
        <v/>
      </c>
      <c r="Q41" s="153" t="n">
        <v>0</v>
      </c>
      <c r="R41" s="153" t="n">
        <v>0</v>
      </c>
      <c r="S41" s="153" t="n">
        <v>0</v>
      </c>
      <c r="T41" s="153" t="n">
        <v>0</v>
      </c>
      <c r="U41" s="35" t="n">
        <v>100</v>
      </c>
      <c r="V41" s="40" t="n">
        <v>46338</v>
      </c>
      <c r="W41" s="15" t="inlineStr">
        <is>
          <t>EP</t>
        </is>
      </c>
      <c r="X41" s="16" t="inlineStr">
        <is>
          <t>AI Developer
RFPs creation, Product Mgmt, Documentation</t>
        </is>
      </c>
      <c r="Y41" s="16" t="inlineStr">
        <is>
          <t>Python, LLM / RAG
Python, C++, HTML, CSS, Javascript, NodeJS, ExpressJS</t>
        </is>
      </c>
      <c r="Z41" s="15" t="inlineStr">
        <is>
          <t>Claude Code, codex, SQL, R</t>
        </is>
      </c>
      <c r="AA41" s="41">
        <f t="array" ref="AA41">_xlfn.TEXTJOIN(", ",TRUE,_xlfn._xlws.FILTER($AB$1:$AI$1,$AB41:$AI41="Yes"))</f>
        <v/>
      </c>
      <c r="AB41" s="15" t="inlineStr">
        <is>
          <t>Yes</t>
        </is>
      </c>
      <c r="AC41" s="15" t="n"/>
      <c r="AD41" s="15" t="n"/>
      <c r="AE41" s="15" t="inlineStr">
        <is>
          <t>Yes</t>
        </is>
      </c>
      <c r="AF41" s="15" t="n"/>
      <c r="AG41" s="15" t="n"/>
      <c r="AH41" s="15" t="n"/>
      <c r="AI41" s="15" t="n"/>
      <c r="AJ41" s="16" t="inlineStr">
        <is>
          <t>Management Consultant / AI Engineer
Data Scientist / Business Analyst / Management consultant</t>
        </is>
      </c>
      <c r="AK41" s="15" t="inlineStr">
        <is>
          <t>Client G S/4HANA Implementation - ENG-016</t>
        </is>
      </c>
      <c r="AL41" t="inlineStr">
        <is>
          <t>Masked Person 37</t>
        </is>
      </c>
    </row>
    <row r="42" hidden="1" ht="43.5" customHeight="1" s="350">
      <c r="A42" t="inlineStr">
        <is>
          <t>Masked Person 67</t>
        </is>
      </c>
      <c r="B42" s="25" t="inlineStr">
        <is>
          <t>Female</t>
        </is>
      </c>
      <c r="C42" t="inlineStr">
        <is>
          <t>Intern (CS) 1</t>
        </is>
      </c>
      <c r="D42" t="inlineStr">
        <is>
          <t>Coming on bench in 32 week(s)</t>
        </is>
      </c>
      <c r="E42" s="14" t="n">
        <v>1.05381</v>
      </c>
      <c r="F42" s="14" t="n">
        <v>1.05381</v>
      </c>
      <c r="G42" s="14" t="n">
        <v>1.05381</v>
      </c>
      <c r="H42" s="14" t="n">
        <v>1.05381</v>
      </c>
      <c r="I42" s="14" t="n">
        <v>1.05381</v>
      </c>
      <c r="J42" s="14" t="n">
        <v>1.05381</v>
      </c>
      <c r="K42" s="14" t="n">
        <v>1.05381</v>
      </c>
      <c r="L42" s="14" t="n">
        <v>1.05381</v>
      </c>
      <c r="M42" s="14" t="n">
        <v>1.05381</v>
      </c>
      <c r="N42" s="14" t="n">
        <v>1.05381</v>
      </c>
      <c r="O42" s="41" t="inlineStr">
        <is>
          <t>May 2026 - Apr 2027 - Client A 100%
Internship until 9 April 2027</t>
        </is>
      </c>
      <c r="P42" s="2">
        <f>IF($G42&gt;=100%,"NA",IF(G42=0%,"Bench","Partial Bench"))</f>
        <v/>
      </c>
      <c r="Q42" s="153" t="n">
        <v>0</v>
      </c>
      <c r="R42" s="153" t="n">
        <v>0</v>
      </c>
      <c r="S42" s="153" t="n">
        <v>0</v>
      </c>
      <c r="T42" s="153" t="n">
        <v>0</v>
      </c>
      <c r="U42" s="35" t="n"/>
      <c r="V42" s="35" t="n"/>
      <c r="W42" s="15" t="n"/>
      <c r="X42" s="15" t="inlineStr">
        <is>
          <t>Data Engineer</t>
        </is>
      </c>
      <c r="Y42" s="15" t="inlineStr">
        <is>
          <t>Python, MySQL, Microsoft Azure</t>
        </is>
      </c>
      <c r="Z42" s="15" t="inlineStr">
        <is>
          <t>Linux, AWS, Docker, ML (Scikit-learn, Pandas)</t>
        </is>
      </c>
      <c r="AA42" s="41">
        <f t="array" ref="AA42">_xlfn.TEXTJOIN(", ",TRUE,_xlfn._xlws.FILTER($AB$1:$AI$1,$AB42:$AI42="Yes"))</f>
        <v/>
      </c>
      <c r="AB42" s="15" t="inlineStr">
        <is>
          <t>Yes</t>
        </is>
      </c>
      <c r="AC42" s="15" t="n"/>
      <c r="AD42" s="15" t="n"/>
      <c r="AE42" s="15" t="inlineStr">
        <is>
          <t>Yes</t>
        </is>
      </c>
      <c r="AF42" s="15" t="n"/>
      <c r="AG42" s="15" t="n"/>
      <c r="AH42" s="15" t="n"/>
      <c r="AI42" s="15" t="inlineStr">
        <is>
          <t>Yes</t>
        </is>
      </c>
      <c r="AJ42" s="15" t="inlineStr">
        <is>
          <t>Data Scientist/AI Engineer</t>
        </is>
      </c>
      <c r="AK42" s="15" t="inlineStr">
        <is>
          <t>Client A - Platform A1 (GovCloud) - ENG-017</t>
        </is>
      </c>
      <c r="AL42" s="15" t="inlineStr">
        <is>
          <t>Masked Person 1</t>
        </is>
      </c>
    </row>
    <row r="43" ht="15" customHeight="1" s="350">
      <c r="A43" t="inlineStr">
        <is>
          <t>Masked Person 68</t>
        </is>
      </c>
      <c r="B43" s="25" t="inlineStr">
        <is>
          <t>Male</t>
        </is>
      </c>
      <c r="C43" t="inlineStr">
        <is>
          <t>Manager 2</t>
        </is>
      </c>
      <c r="D43" t="inlineStr">
        <is>
          <t>Coming on bench in 2 week(s)</t>
        </is>
      </c>
      <c r="E43" s="14" t="n">
        <v>0.29856</v>
      </c>
      <c r="F43" s="14" t="n">
        <v>0.14928</v>
      </c>
      <c r="G43" s="14" t="n">
        <v>1.31136</v>
      </c>
      <c r="H43" s="14" t="n">
        <v>1.31136</v>
      </c>
      <c r="I43" s="14" t="n">
        <v>0.48</v>
      </c>
      <c r="J43" s="14" t="n">
        <v>0</v>
      </c>
      <c r="K43" s="14" t="n">
        <v>0</v>
      </c>
      <c r="L43" s="14" t="n">
        <v>0</v>
      </c>
      <c r="M43" s="14" t="n">
        <v>0</v>
      </c>
      <c r="N43" s="14" t="n">
        <v>0</v>
      </c>
      <c r="O43" s="41" t="inlineStr">
        <is>
          <t>Jul - Sept 2026 - Client F Project F2 75%, 
Jul - Sept 2026 - Client L 20%
Jul - Sept 2026 - Project I1 5%
Oct 2026 - Feb 2027 - Project I1 100%
100% allocated across Client C, Client B, Client AH, Client AI, Client AJ</t>
        </is>
      </c>
      <c r="P43" s="2">
        <f>IF($G43&gt;=100%,"NA",IF(G43=0%,"Bench","Partial Bench"))</f>
        <v/>
      </c>
      <c r="Q43" s="153" t="n">
        <v>0</v>
      </c>
      <c r="R43" s="153" t="n">
        <v>0.45</v>
      </c>
      <c r="S43" s="153" t="n">
        <v>0.45</v>
      </c>
      <c r="T43" s="153" t="n">
        <v>0.45</v>
      </c>
      <c r="U43" s="35" t="n">
        <v>100</v>
      </c>
      <c r="V43" t="inlineStr">
        <is>
          <t>9/30/2026</t>
        </is>
      </c>
      <c r="W43" s="15" t="inlineStr">
        <is>
          <t>PR</t>
        </is>
      </c>
      <c r="X43" s="16" t="inlineStr">
        <is>
          <t>Manager
Senior AI Developer, Data Quality Manager</t>
        </is>
      </c>
      <c r="Y43" s="16" t="inlineStr">
        <is>
          <t>Python, LLM/RAG
Python, C++, VS Code, VS, OPENAI LIB, AI Agent, PyTorch, Computer Vision</t>
        </is>
      </c>
      <c r="Z43" s="16" t="inlineStr">
        <is>
          <t>JIRA, Docker
Devops ( On premise)</t>
        </is>
      </c>
      <c r="AA43" s="41">
        <f t="array" ref="AA43">_xlfn.TEXTJOIN(", ",TRUE,_xlfn._xlws.FILTER($AB$1:$AI$1,$AB43:$AI43="Yes"))</f>
        <v/>
      </c>
      <c r="AB43" s="16" t="n"/>
      <c r="AC43" s="16" t="n"/>
      <c r="AD43" s="16" t="n"/>
      <c r="AE43" s="16" t="inlineStr">
        <is>
          <t>Yes</t>
        </is>
      </c>
      <c r="AF43" s="16" t="n"/>
      <c r="AG43" s="16" t="n"/>
      <c r="AH43" s="16" t="inlineStr">
        <is>
          <t>Yes</t>
        </is>
      </c>
      <c r="AI43" s="16" t="inlineStr">
        <is>
          <t>Yes</t>
        </is>
      </c>
      <c r="AJ43" s="16" t="inlineStr">
        <is>
          <t>AI Engineer
Cloud Platforms, MLOps</t>
        </is>
      </c>
      <c r="AK43" s="15" t="inlineStr">
        <is>
          <t>Project F2, Project I1 - ENG-022</t>
        </is>
      </c>
      <c r="AL43" t="inlineStr">
        <is>
          <t>Masked Person 29</t>
        </is>
      </c>
    </row>
    <row r="44" ht="15" customHeight="1" s="350">
      <c r="A44" t="inlineStr">
        <is>
          <t>Masked Person 70</t>
        </is>
      </c>
      <c r="B44" s="25" t="inlineStr">
        <is>
          <t>Male</t>
        </is>
      </c>
      <c r="C44" t="inlineStr">
        <is>
          <t>Staff/Assistant 2</t>
        </is>
      </c>
      <c r="D44" t="inlineStr">
        <is>
          <t>Coming on bench in 15 week(s)</t>
        </is>
      </c>
      <c r="E44" s="14" t="n">
        <v>1.05594</v>
      </c>
      <c r="F44" s="14" t="n">
        <v>1.05594</v>
      </c>
      <c r="G44" s="14" t="n">
        <v>1.05594</v>
      </c>
      <c r="H44" s="14" t="n">
        <v>1.05594</v>
      </c>
      <c r="I44" s="14" t="n">
        <v>1.05594</v>
      </c>
      <c r="J44" s="14" t="n">
        <v>1.05594</v>
      </c>
      <c r="K44" s="14" t="n">
        <v>1.05594</v>
      </c>
      <c r="L44" s="14" t="n">
        <v>1.05594</v>
      </c>
      <c r="M44" s="14" t="n">
        <v>1.05594</v>
      </c>
      <c r="N44" s="14" t="n">
        <v>1.05594</v>
      </c>
      <c r="O44" s="41" t="inlineStr">
        <is>
          <t>Jun - Dec 2026 - Client A Platform A1 Maintenance Phase 1 &amp;2 -100%
May - Dec 2026 - Client A 100%</t>
        </is>
      </c>
      <c r="P44" s="2">
        <f>IF($G44&gt;=100%,"NA",IF(G44=0%,"Bench","Partial Bench"))</f>
        <v/>
      </c>
      <c r="Q44" s="153" t="n">
        <v>0</v>
      </c>
      <c r="R44" s="153" t="n">
        <v>0</v>
      </c>
      <c r="S44" s="153" t="n">
        <v>0</v>
      </c>
      <c r="T44" s="153" t="n">
        <v>0</v>
      </c>
      <c r="U44" s="32" t="n">
        <v>100</v>
      </c>
      <c r="V44" s="32" t="inlineStr">
        <is>
          <t>12/31/2026</t>
        </is>
      </c>
      <c r="W44" s="15" t="inlineStr">
        <is>
          <t>PR</t>
        </is>
      </c>
      <c r="X44" s="23" t="inlineStr">
        <is>
          <t>Data engineer
AI Engineer (Former employer 1)</t>
        </is>
      </c>
      <c r="Y44" s="23" t="inlineStr">
        <is>
          <t>LLM/RAG
Agentic AI, Multi‑Agent Orchestration, Autonomous Reasoning (ReAct, Planning, Reflection), LLMs, RAG, MCP, Python, LangChain</t>
        </is>
      </c>
      <c r="Z44" s="23" t="inlineStr">
        <is>
          <t>Python
LLMOps (Docker, GCP), LangGraph, LangSmith, CI/CD (GitHub Actions), FastAPI, Vector Databases (Pinecone, Chroma, Supabase)</t>
        </is>
      </c>
      <c r="AA44" s="41">
        <f t="array" ref="AA44">_xlfn.TEXTJOIN(", ",TRUE,_xlfn._xlws.FILTER($AB$1:$AI$1,$AB44:$AI44="Yes"))</f>
        <v/>
      </c>
      <c r="AB44" s="23" t="n"/>
      <c r="AC44" s="23" t="n"/>
      <c r="AD44" s="23" t="n"/>
      <c r="AE44" s="23" t="inlineStr">
        <is>
          <t>Yes</t>
        </is>
      </c>
      <c r="AF44" s="23" t="n"/>
      <c r="AG44" s="23" t="n"/>
      <c r="AH44" s="23" t="n"/>
      <c r="AI44" s="23" t="inlineStr">
        <is>
          <t>Yes</t>
        </is>
      </c>
      <c r="AJ44" s="23" t="inlineStr">
        <is>
          <t>AI Engineer
GenAI Engineer / AI Architect</t>
        </is>
      </c>
      <c r="AK44" s="15" t="inlineStr">
        <is>
          <t>Client A - Platform A1 Maintenance Phase 1 &amp;2 - ENG-003</t>
        </is>
      </c>
      <c r="AL44" s="15" t="inlineStr">
        <is>
          <t>Masked Person 1</t>
        </is>
      </c>
    </row>
    <row r="45" ht="15" customHeight="1" s="350">
      <c r="A45" t="inlineStr">
        <is>
          <t>Masked Person 71</t>
        </is>
      </c>
      <c r="B45" s="25" t="inlineStr">
        <is>
          <t>Male</t>
        </is>
      </c>
      <c r="C45" t="inlineStr">
        <is>
          <t>Senior 1</t>
        </is>
      </c>
      <c r="D45" t="inlineStr">
        <is>
          <t>Benching for 7 week(s)</t>
        </is>
      </c>
      <c r="E45" s="14" t="n">
        <v>0</v>
      </c>
      <c r="F45" s="14" t="n">
        <v>0</v>
      </c>
      <c r="G45" s="14" t="n">
        <v>0</v>
      </c>
      <c r="H45" s="14" t="n">
        <v>0</v>
      </c>
      <c r="I45" s="14" t="n">
        <v>0</v>
      </c>
      <c r="J45" s="14" t="n">
        <v>0</v>
      </c>
      <c r="K45" s="14" t="n">
        <v>0</v>
      </c>
      <c r="L45" s="14" t="n">
        <v>0</v>
      </c>
      <c r="M45" s="14" t="n">
        <v>0</v>
      </c>
      <c r="N45" s="14" t="n">
        <v>0</v>
      </c>
      <c r="O45" s="123" t="inlineStr">
        <is>
          <t>Jul - Jan 2027 - Client B 100%</t>
        </is>
      </c>
      <c r="P45" s="2">
        <f>IF($G45&gt;=100%,"NA",IF(G45=0%,"Bench","Partial Bench"))</f>
        <v/>
      </c>
      <c r="Q45" s="153" t="n">
        <v>0</v>
      </c>
      <c r="R45" s="153" t="n">
        <v>0</v>
      </c>
      <c r="S45" s="153" t="n">
        <v>0</v>
      </c>
      <c r="T45" s="153" t="n">
        <v>0</v>
      </c>
      <c r="U45" s="32" t="n">
        <v>100</v>
      </c>
      <c r="V45" s="32" t="inlineStr">
        <is>
          <t>1/29/2027</t>
        </is>
      </c>
      <c r="W45" s="15" t="inlineStr">
        <is>
          <t>EP</t>
        </is>
      </c>
      <c r="X45" s="23" t="inlineStr">
        <is>
          <t>Data Engineer</t>
        </is>
      </c>
      <c r="Y45" s="23" t="inlineStr">
        <is>
          <t>Azure, GCP, AWS, GenAI, Agentic AI, Python , Talend , Pyspark</t>
        </is>
      </c>
      <c r="Z45" s="15" t="inlineStr">
        <is>
          <t>JIRA , Confluence, Git, Devops, Infra, Cybersecurity</t>
        </is>
      </c>
      <c r="AA45" s="41">
        <f t="array" ref="AA45">_xlfn.TEXTJOIN(", ",TRUE,_xlfn._xlws.FILTER($AB$1:$AI$1,$AB45:$AI45="Yes"))</f>
        <v/>
      </c>
      <c r="AB45" s="15" t="inlineStr">
        <is>
          <t>Yes</t>
        </is>
      </c>
      <c r="AC45" s="15" t="n"/>
      <c r="AD45" s="15" t="n"/>
      <c r="AE45" s="15" t="inlineStr">
        <is>
          <t>Yes</t>
        </is>
      </c>
      <c r="AF45" s="15" t="n"/>
      <c r="AG45" s="15" t="n"/>
      <c r="AH45" s="15" t="inlineStr">
        <is>
          <t>Yes</t>
        </is>
      </c>
      <c r="AI45" s="15" t="n"/>
      <c r="AJ45" s="23" t="inlineStr">
        <is>
          <t>Data and AI Engineer, GenAI Engineer, Agentic Engineer</t>
        </is>
      </c>
      <c r="AK45" s="15" t="inlineStr">
        <is>
          <t>Client B - System B1 SAS Upgrade - 3.5 - ENG-010</t>
        </is>
      </c>
      <c r="AL45" s="15" t="inlineStr">
        <is>
          <t>Masked Person 11</t>
        </is>
      </c>
    </row>
    <row r="46" ht="15" customHeight="1" s="350">
      <c r="A46" t="inlineStr">
        <is>
          <t>Masked Person 72</t>
        </is>
      </c>
      <c r="B46" s="25" t="inlineStr">
        <is>
          <t>Male</t>
        </is>
      </c>
      <c r="C46" t="inlineStr">
        <is>
          <t>Staff/Assistant 2</t>
        </is>
      </c>
      <c r="D46" t="inlineStr">
        <is>
          <t>Coming on bench in 15 week(s)</t>
        </is>
      </c>
      <c r="E46" s="14" t="n">
        <v>1.08911</v>
      </c>
      <c r="F46" s="14" t="n">
        <v>1.08911</v>
      </c>
      <c r="G46" s="14" t="n">
        <v>1.08911</v>
      </c>
      <c r="H46" s="14" t="n">
        <v>1.08911</v>
      </c>
      <c r="I46" s="14" t="n">
        <v>1.08911</v>
      </c>
      <c r="J46" s="14" t="n">
        <v>1.08911</v>
      </c>
      <c r="K46" s="14" t="n">
        <v>1.08911</v>
      </c>
      <c r="L46" s="14" t="n">
        <v>1.08911</v>
      </c>
      <c r="M46" s="14" t="n">
        <v>1.08911</v>
      </c>
      <c r="N46" s="14" t="n">
        <v>1.08911</v>
      </c>
      <c r="O46" s="123" t="inlineStr">
        <is>
          <t>Dec 2025 - end 2026 Client A100%</t>
        </is>
      </c>
      <c r="P46" s="2">
        <f>IF($G46&gt;=100%,"NA",IF(G46=0%,"Bench","Partial Bench"))</f>
        <v/>
      </c>
      <c r="Q46" s="153" t="n">
        <v>0</v>
      </c>
      <c r="R46" s="153" t="n">
        <v>0</v>
      </c>
      <c r="S46" s="153" t="n">
        <v>0</v>
      </c>
      <c r="T46" s="153" t="n">
        <v>0</v>
      </c>
      <c r="U46" s="32" t="n"/>
      <c r="V46" s="32" t="n"/>
      <c r="W46" s="15" t="inlineStr">
        <is>
          <t>EP</t>
        </is>
      </c>
      <c r="X46" s="15" t="inlineStr">
        <is>
          <t>Data Engineer</t>
        </is>
      </c>
      <c r="Y46" s="15" t="inlineStr">
        <is>
          <t>Azure, Anaplan, Python, Pyspark, SQL</t>
        </is>
      </c>
      <c r="Z46" s="15" t="inlineStr">
        <is>
          <t>Databricks, Java, C++</t>
        </is>
      </c>
      <c r="AA46" s="41">
        <f t="array" ref="AA46">_xlfn.TEXTJOIN(", ",TRUE,_xlfn._xlws.FILTER($AB$1:$AI$1,$AB46:$AI46="Yes"))</f>
        <v/>
      </c>
      <c r="AB46" s="15" t="inlineStr">
        <is>
          <t>Yes</t>
        </is>
      </c>
      <c r="AC46" s="15" t="n"/>
      <c r="AD46" s="15" t="n"/>
      <c r="AE46" s="15" t="n"/>
      <c r="AF46" s="15" t="n"/>
      <c r="AG46" s="15" t="n"/>
      <c r="AH46" s="15" t="n"/>
      <c r="AI46" s="15" t="inlineStr">
        <is>
          <t>Yes</t>
        </is>
      </c>
      <c r="AJ46" s="15" t="inlineStr">
        <is>
          <t>AI Engineer</t>
        </is>
      </c>
      <c r="AK46" s="15" t="inlineStr">
        <is>
          <t>Client A - Platform A1 (GovCloud) - ENG-017, Project C3</t>
        </is>
      </c>
      <c r="AL46" s="15" t="inlineStr">
        <is>
          <t>Masked Person 1, Masked Person 40</t>
        </is>
      </c>
    </row>
    <row r="47" ht="15" customHeight="1" s="350">
      <c r="A47" t="inlineStr">
        <is>
          <t>Masked Person 73</t>
        </is>
      </c>
      <c r="B47" s="25" t="inlineStr">
        <is>
          <t>Male</t>
        </is>
      </c>
      <c r="C47" t="inlineStr">
        <is>
          <t>Senior 2</t>
        </is>
      </c>
      <c r="D47" t="inlineStr">
        <is>
          <t>Coming on bench in 15 week(s)</t>
        </is>
      </c>
      <c r="E47" s="14" t="n">
        <v>1</v>
      </c>
      <c r="F47" s="14" t="n">
        <v>1</v>
      </c>
      <c r="G47" s="14" t="n">
        <v>1</v>
      </c>
      <c r="H47" s="14" t="n">
        <v>1</v>
      </c>
      <c r="I47" s="14" t="n">
        <v>1</v>
      </c>
      <c r="J47" s="14" t="n">
        <v>1</v>
      </c>
      <c r="K47" s="14" t="n">
        <v>1</v>
      </c>
      <c r="L47" s="14" t="n">
        <v>1</v>
      </c>
      <c r="M47" s="14" t="n">
        <v>1</v>
      </c>
      <c r="N47" s="14" t="n">
        <v>1</v>
      </c>
      <c r="O47" s="41" t="inlineStr">
        <is>
          <t>Jul 2026 - Jan 2027 - Client D 100%
Jan - Dec 2026 - Client D 100%</t>
        </is>
      </c>
      <c r="P47" s="2">
        <f>IF($G47&gt;=100%,"NA",IF(G47=0%,"Bench","Partial Bench"))</f>
        <v/>
      </c>
      <c r="Q47" s="153" t="n">
        <v>0</v>
      </c>
      <c r="R47" s="153" t="n">
        <v>0</v>
      </c>
      <c r="S47" s="153" t="n">
        <v>0</v>
      </c>
      <c r="T47" s="153" t="n">
        <v>0</v>
      </c>
      <c r="U47" s="32" t="n">
        <v>100</v>
      </c>
      <c r="V47" s="32" t="inlineStr">
        <is>
          <t>1/31/2026</t>
        </is>
      </c>
      <c r="W47" s="15" t="inlineStr">
        <is>
          <t>PR</t>
        </is>
      </c>
      <c r="X47" s="15" t="inlineStr">
        <is>
          <t>Tech lead, Data engineer, Cloud engineer, Infra engineer</t>
        </is>
      </c>
      <c r="Y47" s="16" t="inlineStr">
        <is>
          <t>AWS, Linux, Databricks, Python, SAS, Microsoft Power BI
AWS, Linux, SAS, SQL</t>
        </is>
      </c>
      <c r="Z47" s="16" t="inlineStr">
        <is>
          <t>Azure, Tableau, Docker
Git, Terraform, Jenkins, Ansible, Kubernetes, Databricks, Agentic AI</t>
        </is>
      </c>
      <c r="AA47" s="41">
        <f t="array" ref="AA47">_xlfn.TEXTJOIN(", ",TRUE,_xlfn._xlws.FILTER($AB$1:$AI$1,$AB47:$AI47="Yes"))</f>
        <v/>
      </c>
      <c r="AB47" s="16" t="inlineStr">
        <is>
          <t>Yes</t>
        </is>
      </c>
      <c r="AC47" s="16" t="n"/>
      <c r="AD47" s="16" t="inlineStr">
        <is>
          <t>Yes</t>
        </is>
      </c>
      <c r="AE47" s="16" t="n"/>
      <c r="AF47" s="16" t="n"/>
      <c r="AG47" s="16" t="n"/>
      <c r="AH47" s="16" t="n"/>
      <c r="AI47" s="16" t="inlineStr">
        <is>
          <t>Yes</t>
        </is>
      </c>
      <c r="AJ47" s="16" t="inlineStr">
        <is>
          <t>AI and Data Engineer
DevOps Engineer</t>
        </is>
      </c>
      <c r="AK47" s="15" t="inlineStr">
        <is>
          <t>Client D - Platform D1 GovCloud Migration - M&amp;S - ENG-008</t>
        </is>
      </c>
      <c r="AL47" t="inlineStr">
        <is>
          <t>Masked Person 11</t>
        </is>
      </c>
    </row>
    <row r="48" ht="15" customHeight="1" s="350">
      <c r="A48" t="inlineStr">
        <is>
          <t>Masked Person 76</t>
        </is>
      </c>
      <c r="B48" s="25" t="inlineStr">
        <is>
          <t>Male</t>
        </is>
      </c>
      <c r="C48" t="inlineStr">
        <is>
          <t>Staff/Assistant 2</t>
        </is>
      </c>
      <c r="D48" t="inlineStr">
        <is>
          <t>Coming on bench in 15 week(s)</t>
        </is>
      </c>
      <c r="E48" s="14" t="n">
        <v>1.07143</v>
      </c>
      <c r="F48" s="14" t="n">
        <v>1.07143</v>
      </c>
      <c r="G48" s="14" t="n">
        <v>1.07143</v>
      </c>
      <c r="H48" s="14" t="n">
        <v>1.07143</v>
      </c>
      <c r="I48" s="14" t="n">
        <v>1.07143</v>
      </c>
      <c r="J48" s="14" t="n">
        <v>1.07143</v>
      </c>
      <c r="K48" s="14" t="n">
        <v>1.07143</v>
      </c>
      <c r="L48" s="14" t="n">
        <v>1.07143</v>
      </c>
      <c r="M48" s="14" t="n">
        <v>1.07143</v>
      </c>
      <c r="N48" s="14" t="n">
        <v>1.07143</v>
      </c>
      <c r="O48" s="41" t="inlineStr">
        <is>
          <t>Jul 2026 - Jan 2027 Client A GovCloud P3 100%
Jan 2026 - Dec 2026 Client A 100%</t>
        </is>
      </c>
      <c r="P48" s="2">
        <f>IF($G48&gt;=100%,"NA",IF(G48=0%,"Bench","Partial Bench"))</f>
        <v/>
      </c>
      <c r="Q48" s="153" t="n">
        <v>0</v>
      </c>
      <c r="R48" s="153" t="n">
        <v>0</v>
      </c>
      <c r="S48" s="153" t="n">
        <v>0</v>
      </c>
      <c r="T48" s="153" t="n">
        <v>0</v>
      </c>
      <c r="U48" s="32" t="n"/>
      <c r="V48" s="32" t="n"/>
      <c r="W48" s="27" t="inlineStr">
        <is>
          <t>Singaporean</t>
        </is>
      </c>
      <c r="X48" s="15" t="inlineStr">
        <is>
          <t>Data engineer in GovCloud Platform A1 project</t>
        </is>
      </c>
      <c r="Y48" s="16" t="inlineStr">
        <is>
          <t>Azure, Python
Microsoft Azure, Python / Spark/ SQL</t>
        </is>
      </c>
      <c r="Z48" s="26" t="inlineStr">
        <is>
          <t>JIRA, SQL
R, Power Bi, Tableau</t>
        </is>
      </c>
      <c r="AA48" s="41">
        <f t="array" ref="AA48">_xlfn.TEXTJOIN(", ",TRUE,_xlfn._xlws.FILTER($AB$1:$AI$1,$AB48:$AI48="Yes"))</f>
        <v/>
      </c>
      <c r="AB48" s="26" t="inlineStr">
        <is>
          <t>Yes</t>
        </is>
      </c>
      <c r="AC48" s="26" t="n"/>
      <c r="AD48" s="26" t="inlineStr">
        <is>
          <t>Yes</t>
        </is>
      </c>
      <c r="AE48" s="26" t="n"/>
      <c r="AF48" s="26" t="n"/>
      <c r="AG48" s="26" t="n"/>
      <c r="AH48" s="26" t="n"/>
      <c r="AI48" s="26" t="inlineStr">
        <is>
          <t>Yes</t>
        </is>
      </c>
      <c r="AJ48" t="inlineStr">
        <is>
          <t>AI Engineer</t>
        </is>
      </c>
      <c r="AK48" s="15" t="inlineStr">
        <is>
          <t>Client A - Platform A1 in GovCloud - ENG-004</t>
        </is>
      </c>
      <c r="AL48" s="15" t="inlineStr">
        <is>
          <t>Masked Person 1</t>
        </is>
      </c>
    </row>
    <row r="49" ht="15" customHeight="1" s="350">
      <c r="A49" t="inlineStr">
        <is>
          <t>Masked Person 78</t>
        </is>
      </c>
      <c r="B49" s="25" t="inlineStr">
        <is>
          <t>Female</t>
        </is>
      </c>
      <c r="C49" t="inlineStr">
        <is>
          <t>Staff/Assistant 1</t>
        </is>
      </c>
      <c r="D49" t="inlineStr">
        <is>
          <t>Benching for 5 week(s)</t>
        </is>
      </c>
      <c r="E49" s="14" t="n">
        <v>0</v>
      </c>
      <c r="F49" s="14" t="n">
        <v>0</v>
      </c>
      <c r="G49" s="14" t="n">
        <v>0</v>
      </c>
      <c r="H49" s="14" t="n">
        <v>0</v>
      </c>
      <c r="I49" s="14" t="n">
        <v>0</v>
      </c>
      <c r="J49" s="14" t="n">
        <v>0</v>
      </c>
      <c r="K49" s="14" t="n">
        <v>0</v>
      </c>
      <c r="L49" s="14" t="n">
        <v>0</v>
      </c>
      <c r="M49" s="14" t="n">
        <v>0</v>
      </c>
      <c r="N49" s="14" t="n">
        <v>0</v>
      </c>
      <c r="O49" s="127" t="inlineStr">
        <is>
          <t>Jan 2026 - Dec 2026 Client A 100%</t>
        </is>
      </c>
      <c r="P49" s="2">
        <f>IF($G49&gt;=100%,"NA",IF(G49=0%,"Bench","Partial Bench"))</f>
        <v/>
      </c>
      <c r="Q49" s="153" t="n">
        <v>0</v>
      </c>
      <c r="R49" s="153" t="n">
        <v>1</v>
      </c>
      <c r="S49" s="153" t="n">
        <v>1</v>
      </c>
      <c r="T49" s="153" t="n">
        <v>1</v>
      </c>
      <c r="U49" s="39" t="n"/>
      <c r="V49" s="39" t="n"/>
      <c r="W49" s="12" t="inlineStr">
        <is>
          <t>Singaporean</t>
        </is>
      </c>
      <c r="X49" s="15" t="inlineStr">
        <is>
          <t>Data Engineer</t>
        </is>
      </c>
      <c r="Y49" s="15" t="inlineStr">
        <is>
          <t>Azure, Python, SQL, MySQL, Terraform</t>
        </is>
      </c>
      <c r="Z49" s="15" t="inlineStr">
        <is>
          <t>Q, Power BI, React, DAX, Snowflake</t>
        </is>
      </c>
      <c r="AA49" s="41">
        <f t="array" ref="AA49">_xlfn.TEXTJOIN(", ",TRUE,_xlfn._xlws.FILTER($AB$1:$AI$1,$AB49:$AI49="Yes"))</f>
        <v/>
      </c>
      <c r="AB49" s="15" t="inlineStr">
        <is>
          <t>Yes</t>
        </is>
      </c>
      <c r="AC49" s="15" t="n"/>
      <c r="AD49" s="15" t="inlineStr">
        <is>
          <t>Yes</t>
        </is>
      </c>
      <c r="AE49" s="15" t="n"/>
      <c r="AF49" s="15" t="n"/>
      <c r="AG49" s="15" t="n"/>
      <c r="AH49" s="15" t="n"/>
      <c r="AI49" s="15" t="inlineStr">
        <is>
          <t>Yes</t>
        </is>
      </c>
      <c r="AJ49" s="15" t="inlineStr">
        <is>
          <t>Data Scientist / AI - ML Engineer</t>
        </is>
      </c>
      <c r="AK49" s="15" t="inlineStr">
        <is>
          <t>Client A - Platform A1 in GovCloud - ENG-004</t>
        </is>
      </c>
      <c r="AL49" s="15" t="n"/>
    </row>
    <row r="50" ht="15" customHeight="1" s="350">
      <c r="A50" t="inlineStr">
        <is>
          <t>Masked Person 79</t>
        </is>
      </c>
      <c r="B50" s="25" t="inlineStr">
        <is>
          <t>Male</t>
        </is>
      </c>
      <c r="C50" t="inlineStr">
        <is>
          <t>Senior 3</t>
        </is>
      </c>
      <c r="D50" t="inlineStr">
        <is>
          <t>Coming on bench in 36 week(s)</t>
        </is>
      </c>
      <c r="E50" s="14" t="n">
        <v>1</v>
      </c>
      <c r="F50" s="14" t="n">
        <v>1</v>
      </c>
      <c r="G50" s="14" t="n">
        <v>1</v>
      </c>
      <c r="H50" s="14" t="n">
        <v>1</v>
      </c>
      <c r="I50" s="14" t="n">
        <v>1</v>
      </c>
      <c r="J50" s="14" t="n">
        <v>1</v>
      </c>
      <c r="K50" s="14" t="n">
        <v>1</v>
      </c>
      <c r="L50" s="14" t="n">
        <v>1</v>
      </c>
      <c r="M50" s="14" t="n">
        <v>1</v>
      </c>
      <c r="N50" s="14" t="n">
        <v>1</v>
      </c>
      <c r="O50" s="41" t="inlineStr">
        <is>
          <t>Aug 2026 - Jan 2027 - Client A 100%
Jan 2026 - Dec Client A 100%</t>
        </is>
      </c>
      <c r="P50" s="2">
        <f>IF($G50&gt;=100%,"NA",IF(G50=0%,"Bench","Partial Bench"))</f>
        <v/>
      </c>
      <c r="Q50" s="153" t="n">
        <v>0</v>
      </c>
      <c r="R50" s="153" t="n">
        <v>0</v>
      </c>
      <c r="S50" s="153" t="n">
        <v>0</v>
      </c>
      <c r="T50" s="153" t="n">
        <v>0</v>
      </c>
      <c r="U50" s="32" t="inlineStr">
        <is>
          <t>Our project ends in end April 2027</t>
        </is>
      </c>
      <c r="V50" s="42" t="n">
        <v>46507</v>
      </c>
      <c r="W50" s="15" t="inlineStr">
        <is>
          <t>Singaporean</t>
        </is>
      </c>
      <c r="X50" s="16" t="inlineStr">
        <is>
          <t>Application Lead, Data Engineer
ETL Lead, Assistant App Lead</t>
        </is>
      </c>
      <c r="Y50" s="16" t="inlineStr">
        <is>
          <t>Azure Data Factory, Azure Synapse Analytics, Python, PySpark, Microsoft Power Bi
PySpark, Python, Azure Data Factory, Synapse, Azure DevOps, SQL</t>
        </is>
      </c>
      <c r="Z50" s="16" t="inlineStr">
        <is>
          <t>Neo4j
Power BI, Neo4j, SAS EG</t>
        </is>
      </c>
      <c r="AA50" s="41">
        <f t="array" ref="AA50">_xlfn.TEXTJOIN(", ",TRUE,_xlfn._xlws.FILTER($AB$1:$AI$1,$AB50:$AI50="Yes"))</f>
        <v/>
      </c>
      <c r="AB50" s="16" t="inlineStr">
        <is>
          <t>Yes</t>
        </is>
      </c>
      <c r="AC50" s="16" t="n"/>
      <c r="AD50" s="16" t="inlineStr">
        <is>
          <t>Yes</t>
        </is>
      </c>
      <c r="AE50" s="16" t="n"/>
      <c r="AF50" s="16" t="n"/>
      <c r="AG50" s="16" t="n"/>
      <c r="AH50" s="16" t="n"/>
      <c r="AI50" s="16" t="n"/>
      <c r="AJ50" s="16" t="inlineStr">
        <is>
          <t>Looking to gain AI and ML Ops experience
Data Engineer Lead, Would also like to learn some AI Skills</t>
        </is>
      </c>
      <c r="AK50" s="15" t="inlineStr">
        <is>
          <t>Client A - Platform A1 (GovCloud) - ENG-017</t>
        </is>
      </c>
      <c r="AL50" s="15" t="inlineStr">
        <is>
          <t>Masked Person 1</t>
        </is>
      </c>
    </row>
    <row r="51" ht="15" customHeight="1" s="350">
      <c r="A51" t="inlineStr">
        <is>
          <t>Masked Person 80</t>
        </is>
      </c>
      <c r="B51" s="25" t="inlineStr">
        <is>
          <t>Female</t>
        </is>
      </c>
      <c r="C51" t="inlineStr">
        <is>
          <t>Staff/Assistant 1</t>
        </is>
      </c>
      <c r="D51" t="inlineStr">
        <is>
          <t>Coming on bench in 15 week(s)</t>
        </is>
      </c>
      <c r="E51" s="14" t="n">
        <v>1</v>
      </c>
      <c r="F51" s="14" t="n">
        <v>1</v>
      </c>
      <c r="G51" s="14" t="n">
        <v>1</v>
      </c>
      <c r="H51" s="14" t="n">
        <v>1</v>
      </c>
      <c r="I51" s="14" t="n">
        <v>1</v>
      </c>
      <c r="J51" s="14" t="n">
        <v>1</v>
      </c>
      <c r="K51" s="14" t="n">
        <v>1</v>
      </c>
      <c r="L51" s="14" t="n">
        <v>1</v>
      </c>
      <c r="M51" s="14" t="n">
        <v>1</v>
      </c>
      <c r="N51" s="14" t="n">
        <v>1</v>
      </c>
      <c r="O51" s="41" t="inlineStr">
        <is>
          <t>July 2026 - Jan 2027 - Client A 100%
Jan - Dec 2026 - Client A 100%</t>
        </is>
      </c>
      <c r="P51" s="2">
        <f>IF($G51&gt;=100%,"NA",IF(G51=0%,"Bench","Partial Bench"))</f>
        <v/>
      </c>
      <c r="Q51" s="153" t="n">
        <v>0</v>
      </c>
      <c r="R51" s="153" t="n">
        <v>0</v>
      </c>
      <c r="S51" s="153" t="n">
        <v>0</v>
      </c>
      <c r="T51" s="153" t="n">
        <v>0</v>
      </c>
      <c r="U51" s="32" t="n"/>
      <c r="V51" s="42" t="n">
        <v>46387</v>
      </c>
      <c r="W51" s="15" t="inlineStr">
        <is>
          <t>Singaporean</t>
        </is>
      </c>
      <c r="X51" s="15" t="inlineStr">
        <is>
          <t>Data Engineer</t>
        </is>
      </c>
      <c r="Y51" s="16" t="inlineStr">
        <is>
          <t>Microsoft Power BI, Python
Python, Java, SQL, HTML, C++, Pytorch, Scikit-Learn</t>
        </is>
      </c>
      <c r="Z51" s="16" t="inlineStr">
        <is>
          <t>Governance (Ms Purview &amp; Alation)
Microsoft Purview, Microsoft Azure, Microsoft Fabric</t>
        </is>
      </c>
      <c r="AA51" s="41">
        <f t="array" ref="AA51">_xlfn.TEXTJOIN(", ",TRUE,_xlfn._xlws.FILTER($AB$1:$AI$1,$AB51:$AI51="Yes"))</f>
        <v/>
      </c>
      <c r="AB51" s="16" t="n"/>
      <c r="AC51" s="16" t="n"/>
      <c r="AD51" s="16" t="inlineStr">
        <is>
          <t>Yes</t>
        </is>
      </c>
      <c r="AE51" s="16" t="n"/>
      <c r="AF51" s="16" t="inlineStr">
        <is>
          <t>Yes</t>
        </is>
      </c>
      <c r="AG51" s="16" t="n"/>
      <c r="AH51" s="16" t="n"/>
      <c r="AI51" s="16" t="inlineStr">
        <is>
          <t>Yes</t>
        </is>
      </c>
      <c r="AJ51" s="16" t="inlineStr">
        <is>
          <t>Data Engineer
Data Scientist</t>
        </is>
      </c>
      <c r="AK51" s="16" t="inlineStr">
        <is>
          <t>Client A - Platform A1 in GovCloud - ENG-004
Client A - Platform A1 Maintenance Phase 1 &amp;2 - ENG-003</t>
        </is>
      </c>
      <c r="AL51" s="15" t="inlineStr">
        <is>
          <t>Masked Person 1</t>
        </is>
      </c>
    </row>
    <row r="52" ht="15" customHeight="1" s="350">
      <c r="A52" t="inlineStr">
        <is>
          <t>Masked Person 81</t>
        </is>
      </c>
      <c r="B52" s="25" t="inlineStr">
        <is>
          <t>Male</t>
        </is>
      </c>
      <c r="C52" t="inlineStr">
        <is>
          <t>Staff/Assistant 1</t>
        </is>
      </c>
      <c r="D52" t="inlineStr">
        <is>
          <t>Coming on bench in 15 week(s)</t>
        </is>
      </c>
      <c r="E52" s="14" t="n">
        <v>1</v>
      </c>
      <c r="F52" s="14" t="n">
        <v>1</v>
      </c>
      <c r="G52" s="14" t="n">
        <v>1</v>
      </c>
      <c r="H52" s="14" t="n">
        <v>1</v>
      </c>
      <c r="I52" s="14" t="n">
        <v>1</v>
      </c>
      <c r="J52" s="14" t="n">
        <v>1</v>
      </c>
      <c r="K52" s="14" t="n">
        <v>1</v>
      </c>
      <c r="L52" s="14" t="n">
        <v>1</v>
      </c>
      <c r="M52" s="14" t="n">
        <v>1</v>
      </c>
      <c r="N52" s="14" t="n">
        <v>1</v>
      </c>
      <c r="O52" s="41" t="inlineStr">
        <is>
          <t>July 2026 - Jan 2027 - System B1/Client B 100%
Jan 2026 - Dec 2026 Client B 100%</t>
        </is>
      </c>
      <c r="P52" s="2">
        <f>IF($G52&gt;=100%,"NA",IF(G52=0%,"Bench","Partial Bench"))</f>
        <v/>
      </c>
      <c r="Q52" s="153" t="n">
        <v>0</v>
      </c>
      <c r="R52" s="153" t="n">
        <v>0</v>
      </c>
      <c r="S52" s="153" t="n">
        <v>0</v>
      </c>
      <c r="T52" s="153" t="n">
        <v>0</v>
      </c>
      <c r="U52" s="32" t="n">
        <v>100</v>
      </c>
      <c r="V52" s="42" t="n">
        <v>46387</v>
      </c>
      <c r="W52" s="15" t="inlineStr">
        <is>
          <t>Singaporean</t>
        </is>
      </c>
      <c r="X52" s="15" t="inlineStr">
        <is>
          <t>Data Engineer</t>
        </is>
      </c>
      <c r="Y52" s="16" t="inlineStr">
        <is>
          <t>SAS, SQL
Data Engineer / Analyst</t>
        </is>
      </c>
      <c r="Z52" s="16" t="inlineStr">
        <is>
          <t>Python Tableau , Data Governance
Data Governance</t>
        </is>
      </c>
      <c r="AA52" s="41">
        <f t="array" ref="AA52">_xlfn.TEXTJOIN(", ",TRUE,_xlfn._xlws.FILTER($AB$1:$AI$1,$AB52:$AI52="Yes"))</f>
        <v/>
      </c>
      <c r="AB52" s="16" t="inlineStr">
        <is>
          <t>Yes</t>
        </is>
      </c>
      <c r="AC52" s="16" t="n"/>
      <c r="AD52" s="16" t="inlineStr">
        <is>
          <t>Yes</t>
        </is>
      </c>
      <c r="AE52" s="16" t="n"/>
      <c r="AF52" s="16" t="inlineStr">
        <is>
          <t>Yes</t>
        </is>
      </c>
      <c r="AG52" s="16" t="n"/>
      <c r="AH52" s="16" t="n"/>
      <c r="AI52" s="16" t="n"/>
      <c r="AJ52" s="16" t="inlineStr">
        <is>
          <t>Cloud engineer, AI/ML Ops Engineer
Data Scientist / Analyst</t>
        </is>
      </c>
      <c r="AK52" s="15" t="inlineStr">
        <is>
          <t>Client B - System B1 - Maintenance and Support - ENG-002</t>
        </is>
      </c>
      <c r="AL52" s="15" t="inlineStr">
        <is>
          <t>Masked Person 11</t>
        </is>
      </c>
    </row>
    <row r="53" ht="15" customHeight="1" s="350">
      <c r="A53" t="inlineStr">
        <is>
          <t>Masked Person 83</t>
        </is>
      </c>
      <c r="B53" s="25" t="inlineStr">
        <is>
          <t>Male</t>
        </is>
      </c>
      <c r="C53" t="inlineStr">
        <is>
          <t>Manager 2</t>
        </is>
      </c>
      <c r="D53" t="inlineStr">
        <is>
          <t>Coming on bench in 15 week(s)</t>
        </is>
      </c>
      <c r="E53" s="14" t="n">
        <v>1.05674</v>
      </c>
      <c r="F53" s="14" t="n">
        <v>1.05674</v>
      </c>
      <c r="G53" s="14" t="n">
        <v>1.05674</v>
      </c>
      <c r="H53" s="14" t="n">
        <v>1.05674</v>
      </c>
      <c r="I53" s="14" t="n">
        <v>1.05674</v>
      </c>
      <c r="J53" s="14" t="n">
        <v>1.05674</v>
      </c>
      <c r="K53" s="14" t="n">
        <v>1.05674</v>
      </c>
      <c r="L53" s="14" t="n">
        <v>1.05674</v>
      </c>
      <c r="M53" s="14" t="n">
        <v>1.05674</v>
      </c>
      <c r="N53" s="14" t="n">
        <v>1.05674</v>
      </c>
      <c r="O53" s="41" t="inlineStr">
        <is>
          <t>Client S Aug 2026- Jan 2027
Currently on bench
Jan - June 2026 Client F 100%</t>
        </is>
      </c>
      <c r="P53" s="2">
        <f>IF($G53&gt;=100%,"NA",IF(G53=0%,"Bench","Partial Bench"))</f>
        <v/>
      </c>
      <c r="Q53" s="153" t="n">
        <v>0</v>
      </c>
      <c r="R53" s="153" t="n">
        <v>0</v>
      </c>
      <c r="S53" s="153" t="n">
        <v>0</v>
      </c>
      <c r="T53" s="153" t="n">
        <v>0</v>
      </c>
      <c r="U53" s="35" t="n">
        <v>0</v>
      </c>
      <c r="V53" s="35" t="n"/>
      <c r="W53" s="15" t="inlineStr">
        <is>
          <t>EP</t>
        </is>
      </c>
      <c r="X53" s="15" t="inlineStr">
        <is>
          <t>Technical Project Manager</t>
        </is>
      </c>
      <c r="Y53" s="16" t="inlineStr">
        <is>
          <t>AWS, Software Development, Data Engineering, Python, SQL
AI &amp; Data Platform Engineering (Hybrid Cloud, Data Integration, GenAI Enablement)</t>
        </is>
      </c>
      <c r="Z53" s="16" t="inlineStr">
        <is>
          <t xml:space="preserve"> Generative AI, LLM Fine-Tuning, Terraform, DevOps, Solution Architecture,Docker, JIRA
Solution Design &amp; Cloud Engineering</t>
        </is>
      </c>
      <c r="AA53" s="41">
        <f t="array" ref="AA53">_xlfn.TEXTJOIN(", ",TRUE,_xlfn._xlws.FILTER($AB$1:$AI$1,$AB53:$AI53="Yes"))</f>
        <v/>
      </c>
      <c r="AB53" s="16" t="inlineStr">
        <is>
          <t>Yes</t>
        </is>
      </c>
      <c r="AC53" s="16" t="n"/>
      <c r="AD53" s="16" t="n"/>
      <c r="AE53" s="16" t="inlineStr">
        <is>
          <t>Yes</t>
        </is>
      </c>
      <c r="AF53" s="16" t="n"/>
      <c r="AG53" s="16" t="n"/>
      <c r="AH53" s="16" t="n"/>
      <c r="AI53" s="16" t="inlineStr">
        <is>
          <t>Yes</t>
        </is>
      </c>
      <c r="AJ53" s="16" t="inlineStr">
        <is>
          <t>AI/ML Solutions Architect and Engineer, specializing in Generative AI, Large Language Models (LLMs), and cloud-based AI platforms
AI/Data/Cloud Platform Architect</t>
        </is>
      </c>
      <c r="AK53" s="15" t="inlineStr">
        <is>
          <t>Client F - Project F1 - ENG-021</t>
        </is>
      </c>
      <c r="AL53" s="15" t="inlineStr">
        <is>
          <t>Masked Person 29</t>
        </is>
      </c>
    </row>
    <row r="54" ht="15" customHeight="1" s="350">
      <c r="A54" t="inlineStr">
        <is>
          <t>Masked Person 87</t>
        </is>
      </c>
      <c r="B54" s="25" t="inlineStr">
        <is>
          <t>Male</t>
        </is>
      </c>
      <c r="C54" t="inlineStr">
        <is>
          <t>Staff/Assistant 2</t>
        </is>
      </c>
      <c r="D54" t="inlineStr">
        <is>
          <t>Coming on bench in 14 week(s)</t>
        </is>
      </c>
      <c r="E54" s="14" t="n">
        <v>1</v>
      </c>
      <c r="F54" s="14" t="n">
        <v>1</v>
      </c>
      <c r="G54" s="14" t="n">
        <v>1</v>
      </c>
      <c r="H54" s="14" t="n">
        <v>1</v>
      </c>
      <c r="I54" s="14" t="n">
        <v>1</v>
      </c>
      <c r="J54" s="14" t="n">
        <v>1</v>
      </c>
      <c r="K54" s="14" t="n">
        <v>1</v>
      </c>
      <c r="L54" s="14" t="n">
        <v>1</v>
      </c>
      <c r="M54" s="14" t="n">
        <v>1</v>
      </c>
      <c r="N54" s="14" t="n">
        <v>1</v>
      </c>
      <c r="O54" s="41" t="inlineStr">
        <is>
          <t>Jul - Jan 2027 - Client A GovCloud Platform A1 Phase 4 100%
Jan - Dec 2026 Client A 100%</t>
        </is>
      </c>
      <c r="P54" s="2">
        <f>IF($G54&gt;=100%,"NA",IF(G54=0%,"Bench","Partial Bench"))</f>
        <v/>
      </c>
      <c r="Q54" s="153" t="n">
        <v>0</v>
      </c>
      <c r="R54" s="153" t="n">
        <v>0</v>
      </c>
      <c r="S54" s="153" t="n">
        <v>0</v>
      </c>
      <c r="T54" s="153" t="n">
        <v>0</v>
      </c>
      <c r="U54" s="32" t="n"/>
      <c r="V54" s="32" t="inlineStr">
        <is>
          <t>4/30/2027</t>
        </is>
      </c>
      <c r="W54" s="15" t="inlineStr">
        <is>
          <t>EP</t>
        </is>
      </c>
      <c r="X54" s="15" t="inlineStr">
        <is>
          <t>Data Engineer</t>
        </is>
      </c>
      <c r="Y54" s="15" t="inlineStr">
        <is>
          <t>Python</t>
        </is>
      </c>
      <c r="Z54" s="16" t="inlineStr">
        <is>
          <t>Azure
C++</t>
        </is>
      </c>
      <c r="AA54" s="41">
        <f t="array" ref="AA54">_xlfn.TEXTJOIN(", ",TRUE,_xlfn._xlws.FILTER($AB$1:$AI$1,$AB54:$AI54="Yes"))</f>
        <v/>
      </c>
      <c r="AB54" s="16" t="inlineStr">
        <is>
          <t>Yes</t>
        </is>
      </c>
      <c r="AC54" s="16" t="n"/>
      <c r="AD54" s="16" t="n"/>
      <c r="AE54" s="16" t="inlineStr">
        <is>
          <t>Yes</t>
        </is>
      </c>
      <c r="AF54" s="16" t="n"/>
      <c r="AG54" s="16" t="n"/>
      <c r="AH54" s="16" t="n"/>
      <c r="AI54" s="16" t="inlineStr">
        <is>
          <t>Yes</t>
        </is>
      </c>
      <c r="AJ54" s="15" t="inlineStr">
        <is>
          <t>Data Engineer</t>
        </is>
      </c>
      <c r="AK54" s="15" t="inlineStr">
        <is>
          <t>Client A - Platform A1 (GovCloud) - ENG-017</t>
        </is>
      </c>
      <c r="AL54" s="15" t="inlineStr">
        <is>
          <t>Masked Person 1</t>
        </is>
      </c>
    </row>
    <row r="55" ht="15" customHeight="1" s="350">
      <c r="A55" t="inlineStr">
        <is>
          <t>Masked Person 89</t>
        </is>
      </c>
      <c r="B55" s="25" t="inlineStr">
        <is>
          <t>Male</t>
        </is>
      </c>
      <c r="C55" t="inlineStr">
        <is>
          <t>Staff/Assistant 1</t>
        </is>
      </c>
      <c r="D55" t="inlineStr">
        <is>
          <t>Benching for 10 week(s)</t>
        </is>
      </c>
      <c r="E55" s="14" t="n">
        <v>0</v>
      </c>
      <c r="F55" s="14" t="n">
        <v>0</v>
      </c>
      <c r="G55" s="14" t="n">
        <v>0</v>
      </c>
      <c r="H55" s="14" t="n">
        <v>0</v>
      </c>
      <c r="I55" s="14" t="n">
        <v>0</v>
      </c>
      <c r="J55" s="14" t="n">
        <v>0</v>
      </c>
      <c r="K55" s="14" t="n">
        <v>0</v>
      </c>
      <c r="L55" s="14" t="n">
        <v>0</v>
      </c>
      <c r="M55" s="14" t="n">
        <v>0</v>
      </c>
      <c r="N55" s="14" t="n">
        <v>0</v>
      </c>
      <c r="O55" s="41" t="inlineStr">
        <is>
          <t>Jan - Dec 2026 - Client A
Internship until 26 June</t>
        </is>
      </c>
      <c r="P55" s="2">
        <f>IF($G55&gt;=100%,"NA",IF(G55=0%,"Bench","Partial Bench"))</f>
        <v/>
      </c>
      <c r="Q55" s="153" t="n">
        <v>0</v>
      </c>
      <c r="R55" s="153" t="n">
        <v>0</v>
      </c>
      <c r="S55" s="153" t="n">
        <v>0</v>
      </c>
      <c r="T55" s="153" t="n">
        <v>0</v>
      </c>
      <c r="U55" s="32" t="n"/>
      <c r="V55" s="32" t="n"/>
      <c r="W55" s="15" t="inlineStr">
        <is>
          <t>Singaporean</t>
        </is>
      </c>
      <c r="X55" s="15" t="inlineStr">
        <is>
          <t>Client A Platform A1</t>
        </is>
      </c>
      <c r="Y55" s="15" t="inlineStr">
        <is>
          <t>Python, SQL, R, Java, Spark, Git, PowerBI</t>
        </is>
      </c>
      <c r="Z55" s="15" t="inlineStr">
        <is>
          <t>Azure, Hadoop, Docker</t>
        </is>
      </c>
      <c r="AA55" s="41">
        <f t="array" ref="AA55">_xlfn.TEXTJOIN(", ",TRUE,_xlfn._xlws.FILTER($AB$1:$AI$1,$AB55:$AI55="Yes"))</f>
        <v/>
      </c>
      <c r="AB55" s="15" t="inlineStr">
        <is>
          <t>Yes</t>
        </is>
      </c>
      <c r="AC55" s="15" t="n"/>
      <c r="AD55" s="15" t="inlineStr">
        <is>
          <t>Yes</t>
        </is>
      </c>
      <c r="AE55" s="15" t="n"/>
      <c r="AF55" s="15" t="n"/>
      <c r="AG55" s="15" t="n"/>
      <c r="AH55" s="15" t="n"/>
      <c r="AI55" s="15" t="inlineStr">
        <is>
          <t>Yes</t>
        </is>
      </c>
      <c r="AJ55" s="15" t="inlineStr">
        <is>
          <t>Data Scientist</t>
        </is>
      </c>
      <c r="AK55" s="15" t="inlineStr">
        <is>
          <t>Client A - Platform A1 (GovCloud) - ENG-017</t>
        </is>
      </c>
      <c r="AL55" s="15" t="inlineStr">
        <is>
          <t>Masked Person 1</t>
        </is>
      </c>
    </row>
    <row r="56" hidden="1" ht="43.5" customHeight="1" s="350">
      <c r="A56" t="inlineStr">
        <is>
          <t>Masked Person 90</t>
        </is>
      </c>
      <c r="B56" s="25" t="inlineStr">
        <is>
          <t>Male</t>
        </is>
      </c>
      <c r="C56" t="inlineStr">
        <is>
          <t>Intern (CS) 1</t>
        </is>
      </c>
      <c r="D56" t="inlineStr">
        <is>
          <t>Benching for 10 week(s)</t>
        </is>
      </c>
      <c r="E56" s="14" t="n">
        <v>0</v>
      </c>
      <c r="F56" s="14" t="n">
        <v>0</v>
      </c>
      <c r="G56" s="14" t="n">
        <v>0</v>
      </c>
      <c r="H56" s="14" t="n">
        <v>0</v>
      </c>
      <c r="I56" s="14" t="n">
        <v>0</v>
      </c>
      <c r="J56" s="14" t="n">
        <v>0</v>
      </c>
      <c r="K56" s="14" t="n">
        <v>0</v>
      </c>
      <c r="L56" s="14" t="n">
        <v>0</v>
      </c>
      <c r="M56" s="14" t="n">
        <v>0</v>
      </c>
      <c r="N56" s="14" t="n">
        <v>0</v>
      </c>
      <c r="O56" s="41" t="inlineStr">
        <is>
          <t>Client B, Client D, Client L
Internship ending Dec 4</t>
        </is>
      </c>
      <c r="P56" s="2">
        <f>IF($G56&gt;=100%,"NA",IF(G56=0%,"Bench","Partial Bench"))</f>
        <v/>
      </c>
      <c r="Q56" s="153" t="n">
        <v>0</v>
      </c>
      <c r="R56" s="153" t="n">
        <v>0</v>
      </c>
      <c r="S56" s="153" t="n">
        <v>0</v>
      </c>
      <c r="T56" s="153" t="n">
        <v>0</v>
      </c>
      <c r="U56" s="35" t="inlineStr">
        <is>
          <t>Aug2026-Dec2026-Client R
Aug2026-Dec2026-Client C
Aug2026-Dec2026-Client B</t>
        </is>
      </c>
      <c r="V56" s="42" t="n">
        <v>46124</v>
      </c>
      <c r="W56" s="15" t="inlineStr">
        <is>
          <t>STP</t>
        </is>
      </c>
      <c r="X56" s="15" t="inlineStr">
        <is>
          <t>Tech Intern</t>
        </is>
      </c>
      <c r="Y56" s="15" t="inlineStr">
        <is>
          <t>Figma</t>
        </is>
      </c>
      <c r="Z56" s="15" t="inlineStr">
        <is>
          <t>Rhino Blender</t>
        </is>
      </c>
      <c r="AA56" s="41">
        <f t="array" ref="AA56">_xlfn.TEXTJOIN(", ",TRUE,_xlfn._xlws.FILTER($AB$1:$AI$1,$AB56:$AI56="Yes"))</f>
        <v/>
      </c>
      <c r="AB56" s="15" t="n"/>
      <c r="AC56" s="15" t="n"/>
      <c r="AD56" s="15" t="inlineStr">
        <is>
          <t>Yes</t>
        </is>
      </c>
      <c r="AE56" s="15" t="n"/>
      <c r="AF56" s="15" t="n"/>
      <c r="AG56" s="15" t="n"/>
      <c r="AH56" s="15" t="n"/>
      <c r="AI56" s="15" t="n"/>
      <c r="AJ56" s="15" t="inlineStr">
        <is>
          <t>UIUX</t>
        </is>
      </c>
      <c r="AK56" s="15" t="inlineStr">
        <is>
          <t>Client B - System B1 - Maintenance and Support - ENG-002 (70%), Client AC, Client P, Client AK, Client L, Client H, Client R Client Study, Client C</t>
        </is>
      </c>
      <c r="AL56" s="15" t="inlineStr">
        <is>
          <t>Masked Person 11 , Masked Person 24, Masked Person 40, Masked Person 16</t>
        </is>
      </c>
    </row>
    <row r="57" ht="15" customHeight="1" s="350">
      <c r="A57" t="inlineStr">
        <is>
          <t>Masked Person 91</t>
        </is>
      </c>
      <c r="B57" s="25" t="inlineStr">
        <is>
          <t>Female</t>
        </is>
      </c>
      <c r="C57" t="inlineStr">
        <is>
          <t>Staff/Assistant 2</t>
        </is>
      </c>
      <c r="D57" t="inlineStr">
        <is>
          <t>Coming on bench in 28 week(s)</t>
        </is>
      </c>
      <c r="E57" s="14" t="n">
        <v>1.07051</v>
      </c>
      <c r="F57" s="14" t="n">
        <v>1.07051</v>
      </c>
      <c r="G57" s="14" t="n">
        <v>1.07051</v>
      </c>
      <c r="H57" s="14" t="n">
        <v>1.07051</v>
      </c>
      <c r="I57" s="14" t="n">
        <v>1.07051</v>
      </c>
      <c r="J57" s="14" t="n">
        <v>1.07051</v>
      </c>
      <c r="K57" s="14" t="n">
        <v>1.07051</v>
      </c>
      <c r="L57" s="14" t="n">
        <v>1.07051</v>
      </c>
      <c r="M57" s="14" t="n">
        <v>1.07051</v>
      </c>
      <c r="N57" s="14" t="n">
        <v>1.07051</v>
      </c>
      <c r="O57" s="123" t="inlineStr">
        <is>
          <t>Apr 2026 - Apr 2027 - Client M</t>
        </is>
      </c>
      <c r="P57" s="2">
        <f>IF($G57&gt;=100%,"NA",IF(G57=0%,"Bench","Partial Bench"))</f>
        <v/>
      </c>
      <c r="Q57" s="153" t="n">
        <v>0</v>
      </c>
      <c r="R57" s="153" t="n">
        <v>0</v>
      </c>
      <c r="S57" s="153" t="n">
        <v>0</v>
      </c>
      <c r="T57" s="153" t="n">
        <v>0</v>
      </c>
      <c r="U57" s="34" t="n">
        <v>1</v>
      </c>
      <c r="V57" s="32" t="inlineStr">
        <is>
          <t>4/30/2027</t>
        </is>
      </c>
      <c r="W57" s="15" t="inlineStr">
        <is>
          <t>Singaporean</t>
        </is>
      </c>
      <c r="X57" t="inlineStr">
        <is>
          <t>Enterprise Performance Management (EPM) System consultant/ Data engineer</t>
        </is>
      </c>
      <c r="Y57" t="inlineStr">
        <is>
          <t>Python, Power BI, Tableau</t>
        </is>
      </c>
      <c r="Z57" t="inlineStr">
        <is>
          <t>Azure, Tagetik</t>
        </is>
      </c>
      <c r="AA57" s="41">
        <f t="array" ref="AA57">_xlfn.TEXTJOIN(", ",TRUE,_xlfn._xlws.FILTER($AB$1:$AI$1,$AB57:$AI57="Yes"))</f>
        <v/>
      </c>
      <c r="AB57" s="15" t="inlineStr">
        <is>
          <t>Yes</t>
        </is>
      </c>
      <c r="AD57" t="inlineStr">
        <is>
          <t>Yes</t>
        </is>
      </c>
      <c r="AI57" s="15" t="inlineStr">
        <is>
          <t>Yes</t>
        </is>
      </c>
      <c r="AJ57" t="inlineStr">
        <is>
          <t>Data Engineer</t>
        </is>
      </c>
      <c r="AK57" s="16" t="inlineStr">
        <is>
          <t>Client M
Client N - Project N1 - ENG-012</t>
        </is>
      </c>
      <c r="AL57" s="16" t="inlineStr">
        <is>
          <t>Masked Person 40
Masked Person 21?</t>
        </is>
      </c>
    </row>
    <row r="58" ht="15" customHeight="1" s="350">
      <c r="A58" t="inlineStr">
        <is>
          <t>Masked Person 92</t>
        </is>
      </c>
      <c r="B58" s="25" t="inlineStr">
        <is>
          <t>Male</t>
        </is>
      </c>
      <c r="C58" t="inlineStr">
        <is>
          <t>Staff/Assistant 1</t>
        </is>
      </c>
      <c r="D58" t="inlineStr">
        <is>
          <t>Coming on bench in 15 week(s)</t>
        </is>
      </c>
      <c r="E58" s="14" t="n">
        <v>1</v>
      </c>
      <c r="F58" s="14" t="n">
        <v>1</v>
      </c>
      <c r="G58" s="14" t="n">
        <v>1</v>
      </c>
      <c r="H58" s="14" t="n">
        <v>1</v>
      </c>
      <c r="I58" s="14" t="n">
        <v>1</v>
      </c>
      <c r="J58" s="14" t="n">
        <v>1</v>
      </c>
      <c r="K58" s="14" t="n">
        <v>1</v>
      </c>
      <c r="L58" s="14" t="n">
        <v>1</v>
      </c>
      <c r="M58" s="14" t="n">
        <v>1</v>
      </c>
      <c r="N58" s="14" t="n">
        <v>1</v>
      </c>
      <c r="O58" s="122" t="inlineStr">
        <is>
          <t>July 2026 - Jan 2027 - Client G 100%
Mar - June 2026 - Client G 50%
July - Dec 2026 - Client A 100%</t>
        </is>
      </c>
      <c r="P58" s="2">
        <f>IF($G58&gt;=100%,"NA",IF(G58=0%,"Bench","Partial Bench"))</f>
        <v/>
      </c>
      <c r="Q58" s="153" t="n">
        <v>0</v>
      </c>
      <c r="R58" s="153" t="n">
        <v>1</v>
      </c>
      <c r="S58" s="153" t="n">
        <v>1</v>
      </c>
      <c r="T58" s="153" t="n">
        <v>1</v>
      </c>
      <c r="U58" s="35" t="n"/>
      <c r="V58" s="40" t="n">
        <v>46446</v>
      </c>
      <c r="W58" s="15" t="inlineStr">
        <is>
          <t>Singaporean</t>
        </is>
      </c>
      <c r="X58" s="16" t="inlineStr">
        <is>
          <t>AI Developer
Data Analyst, AI Developer (Client G)</t>
        </is>
      </c>
      <c r="Y58" s="43" t="inlineStr">
        <is>
          <t>Python, Azure, Microsoft Fabric, Microsoft Foundry, ML, AI development, AI Governance and Guardrails, LLM/RAG
Python, PySpark, SQL, C#, ML workflows, Scikit-learn, NLP, Azure Doc Intelligence</t>
        </is>
      </c>
      <c r="Z58" s="43" t="inlineStr">
        <is>
          <t>Java, C#, C++, Snowflake
Java, C++, Ruby</t>
        </is>
      </c>
      <c r="AA58" s="41">
        <f t="array" ref="AA58">_xlfn.TEXTJOIN(", ",TRUE,_xlfn._xlws.FILTER($AB$1:$AI$1,$AB58:$AI58="Yes"))</f>
        <v/>
      </c>
      <c r="AB58" s="43" t="inlineStr">
        <is>
          <t>Yes</t>
        </is>
      </c>
      <c r="AC58" s="43" t="n"/>
      <c r="AD58" s="43" t="n"/>
      <c r="AE58" s="43" t="inlineStr">
        <is>
          <t>Yes</t>
        </is>
      </c>
      <c r="AF58" s="43" t="n"/>
      <c r="AG58" s="43" t="n"/>
      <c r="AH58" s="43" t="n"/>
      <c r="AI58" s="43" t="n"/>
      <c r="AJ58" s="43" t="inlineStr">
        <is>
          <t>AI Developer, AI Strategy
Cloud Architecture, AI Development, AI Strategy</t>
        </is>
      </c>
      <c r="AK58" s="15" t="inlineStr">
        <is>
          <t>Client G S/4HANA Implementation - ENG-016</t>
        </is>
      </c>
      <c r="AL58" t="inlineStr">
        <is>
          <t>Masked Person 37</t>
        </is>
      </c>
    </row>
    <row r="59" hidden="1" ht="43.5" customHeight="1" s="350">
      <c r="A59" t="inlineStr">
        <is>
          <t>Masked Person 93</t>
        </is>
      </c>
      <c r="B59" s="25" t="inlineStr">
        <is>
          <t>Male</t>
        </is>
      </c>
      <c r="C59" t="inlineStr">
        <is>
          <t>Intern (CS) 1</t>
        </is>
      </c>
      <c r="D59" t="inlineStr">
        <is>
          <t>Coming on bench in 11 week(s)</t>
        </is>
      </c>
      <c r="E59" s="14" t="n">
        <v>1.02759</v>
      </c>
      <c r="F59" s="14" t="n">
        <v>0.9419575</v>
      </c>
      <c r="G59" s="14" t="n">
        <v>1.02759</v>
      </c>
      <c r="H59" s="14" t="n">
        <v>1.02759</v>
      </c>
      <c r="I59" s="14" t="n">
        <v>1.02759</v>
      </c>
      <c r="J59" s="14" t="n">
        <v>1.02759</v>
      </c>
      <c r="K59" s="14" t="n">
        <v>1.02759</v>
      </c>
      <c r="L59" s="14" t="n">
        <v>1.02759</v>
      </c>
      <c r="M59" s="14" t="n">
        <v>1.02759</v>
      </c>
      <c r="N59" s="14" t="n">
        <v>1.02759</v>
      </c>
      <c r="O59" s="41" t="inlineStr">
        <is>
          <t>May - Dec 2026 - Client A 100%
Internship until 4 Dec 2026</t>
        </is>
      </c>
      <c r="P59" s="2">
        <f>IF($G59&gt;=100%,"NA",IF(G59=0%,"Bench","Partial Bench"))</f>
        <v/>
      </c>
      <c r="Q59" s="153" t="n">
        <v>0</v>
      </c>
      <c r="R59" s="153" t="n">
        <v>0</v>
      </c>
      <c r="S59" s="153" t="n">
        <v>0</v>
      </c>
      <c r="T59" s="153" t="n">
        <v>0</v>
      </c>
      <c r="U59" s="35" t="n"/>
      <c r="V59" s="35" t="n"/>
      <c r="W59" s="15" t="inlineStr">
        <is>
          <t>Singaporean</t>
        </is>
      </c>
      <c r="X59" s="15" t="inlineStr">
        <is>
          <t>Machine Learning Developer</t>
        </is>
      </c>
      <c r="Y59" s="11" t="inlineStr">
        <is>
          <t>Python, C, C++, Assembly Language</t>
        </is>
      </c>
      <c r="Z59" s="11" t="inlineStr">
        <is>
          <t>SQL, MySQL, Power BI</t>
        </is>
      </c>
      <c r="AA59" s="41">
        <f t="array" ref="AA59">_xlfn.TEXTJOIN(", ",TRUE,_xlfn._xlws.FILTER($AB$1:$AI$1,$AB59:$AI59="Yes"))</f>
        <v/>
      </c>
      <c r="AB59" s="11" t="inlineStr">
        <is>
          <t>Yes</t>
        </is>
      </c>
      <c r="AC59" s="11" t="n"/>
      <c r="AD59" s="11" t="inlineStr">
        <is>
          <t>Yes</t>
        </is>
      </c>
      <c r="AE59" s="11" t="inlineStr">
        <is>
          <t>Yes</t>
        </is>
      </c>
      <c r="AF59" s="11" t="n"/>
      <c r="AG59" s="11" t="n"/>
      <c r="AH59" s="11" t="n"/>
      <c r="AI59" s="11" t="n"/>
      <c r="AJ59" s="11" t="inlineStr">
        <is>
          <t>AI</t>
        </is>
      </c>
      <c r="AK59" s="15" t="inlineStr">
        <is>
          <t>Client A - Platform A1 (GovCloud) - ENG-017</t>
        </is>
      </c>
      <c r="AL59" s="15" t="inlineStr">
        <is>
          <t>Masked Person 1</t>
        </is>
      </c>
    </row>
    <row r="60" ht="15" customHeight="1" s="350">
      <c r="A60" t="inlineStr">
        <is>
          <t>Masked Person 95</t>
        </is>
      </c>
      <c r="B60" s="25" t="inlineStr">
        <is>
          <t>Female</t>
        </is>
      </c>
      <c r="C60" t="inlineStr">
        <is>
          <t>Senior 1</t>
        </is>
      </c>
      <c r="D60" t="inlineStr">
        <is>
          <t>Coming on bench in 15 week(s)</t>
        </is>
      </c>
      <c r="E60" s="14" t="n">
        <v>1</v>
      </c>
      <c r="F60" s="14" t="n">
        <v>1</v>
      </c>
      <c r="G60" s="14" t="n">
        <v>1</v>
      </c>
      <c r="H60" s="14" t="n">
        <v>1</v>
      </c>
      <c r="I60" s="14" t="n">
        <v>1</v>
      </c>
      <c r="J60" s="14" t="n">
        <v>1</v>
      </c>
      <c r="K60" s="14" t="n">
        <v>1</v>
      </c>
      <c r="L60" s="14" t="n">
        <v>1</v>
      </c>
      <c r="M60" s="14" t="n">
        <v>1</v>
      </c>
      <c r="N60" s="14" t="n">
        <v>1</v>
      </c>
      <c r="O60" s="41" t="inlineStr">
        <is>
          <t>July - Jan 2027 - Client B 100%
Jan 2026 - Dec 2026 Client B 100%</t>
        </is>
      </c>
      <c r="P60" s="2">
        <f>IF($G60&gt;=100%,"NA",IF(G60=0%,"Bench","Partial Bench"))</f>
        <v/>
      </c>
      <c r="Q60" s="153" t="n">
        <v>0</v>
      </c>
      <c r="R60" s="153" t="n">
        <v>0</v>
      </c>
      <c r="S60" s="153" t="n">
        <v>0</v>
      </c>
      <c r="T60" s="153" t="n">
        <v>0</v>
      </c>
      <c r="U60" s="32" t="n">
        <v>100</v>
      </c>
      <c r="V60" s="32" t="inlineStr">
        <is>
          <t>12/31/2026</t>
        </is>
      </c>
      <c r="W60" s="15" t="inlineStr">
        <is>
          <t>PR</t>
        </is>
      </c>
      <c r="X60" s="16" t="inlineStr">
        <is>
          <t>Data engineer
Maintenance and support lead</t>
        </is>
      </c>
      <c r="Y60" s="16" t="inlineStr">
        <is>
          <t>SAS, Linux, SQL, Python
SAS, Postman, Alicloud, Microsoft Azure, MySql, Linux</t>
        </is>
      </c>
      <c r="Z60" s="16" t="inlineStr">
        <is>
          <t>Java, Azure
Python, Java, C++, HTML, CSS, Databricks</t>
        </is>
      </c>
      <c r="AA60" s="41">
        <f t="array" ref="AA60">_xlfn.TEXTJOIN(", ",TRUE,_xlfn._xlws.FILTER($AB$1:$AI$1,$AB60:$AI60="Yes"))</f>
        <v/>
      </c>
      <c r="AB60" s="16" t="inlineStr">
        <is>
          <t>Yes</t>
        </is>
      </c>
      <c r="AC60" s="16" t="n"/>
      <c r="AD60" s="16" t="n"/>
      <c r="AE60" s="16" t="n"/>
      <c r="AF60" s="16" t="n"/>
      <c r="AG60" s="16" t="n"/>
      <c r="AH60" s="16" t="n"/>
      <c r="AI60" s="16" t="inlineStr">
        <is>
          <t>Yes</t>
        </is>
      </c>
      <c r="AJ60" s="16" t="inlineStr">
        <is>
          <t>Data Engineer
AI Engineer</t>
        </is>
      </c>
      <c r="AK60" s="15" t="inlineStr">
        <is>
          <t>Client B - System B1 Maintenance &amp; Support YR 2 to 5 - ENG-006</t>
        </is>
      </c>
      <c r="AL60" t="inlineStr">
        <is>
          <t>Masked Person 11</t>
        </is>
      </c>
    </row>
    <row r="61" ht="15" customHeight="1" s="350">
      <c r="A61" t="inlineStr">
        <is>
          <t>Masked Person 96</t>
        </is>
      </c>
      <c r="B61" s="25" t="inlineStr">
        <is>
          <t>Female</t>
        </is>
      </c>
      <c r="C61" t="inlineStr">
        <is>
          <t>Manager 3</t>
        </is>
      </c>
      <c r="D61" t="inlineStr">
        <is>
          <t>Benching for 7 week(s)</t>
        </is>
      </c>
      <c r="E61" s="14" t="n">
        <v>0</v>
      </c>
      <c r="F61" s="14" t="n">
        <v>0</v>
      </c>
      <c r="G61" s="14" t="n">
        <v>0</v>
      </c>
      <c r="H61" s="14" t="n">
        <v>0</v>
      </c>
      <c r="I61" s="14" t="n">
        <v>0</v>
      </c>
      <c r="J61" s="14" t="n">
        <v>0</v>
      </c>
      <c r="K61" s="14" t="n">
        <v>0</v>
      </c>
      <c r="L61" s="14" t="n">
        <v>0</v>
      </c>
      <c r="M61" s="14" t="n">
        <v>0</v>
      </c>
      <c r="N61" s="14" t="n">
        <v>0</v>
      </c>
      <c r="O61" s="123" t="inlineStr">
        <is>
          <t>Aug 2026 - Apr 2027 Client A 100%</t>
        </is>
      </c>
      <c r="P61" s="2">
        <f>IF($G61&gt;=100%,"NA",IF(G61=0%,"Bench","Partial Bench"))</f>
        <v/>
      </c>
      <c r="Q61" s="153" t="n">
        <v>0</v>
      </c>
      <c r="R61" s="153" t="n">
        <v>0</v>
      </c>
      <c r="S61" s="153" t="n">
        <v>0</v>
      </c>
      <c r="T61" s="153" t="n">
        <v>0</v>
      </c>
      <c r="U61" s="32" t="n"/>
      <c r="V61" s="32" t="n"/>
      <c r="W61" s="15" t="inlineStr">
        <is>
          <t>PR</t>
        </is>
      </c>
      <c r="X61" s="15" t="inlineStr">
        <is>
          <t>Data scientist/ scrum master and project manager</t>
        </is>
      </c>
      <c r="Y61" s="15" t="inlineStr">
        <is>
          <t>cloud platform such as Azure</t>
        </is>
      </c>
      <c r="Z61" s="15" t="inlineStr">
        <is>
          <t>Python/pyspark</t>
        </is>
      </c>
      <c r="AA61" s="41">
        <f t="array" ref="AA61">_xlfn.TEXTJOIN(", ",TRUE,_xlfn._xlws.FILTER($AB$1:$AI$1,$AB61:$AI61="Yes"))</f>
        <v/>
      </c>
      <c r="AB61" s="15" t="inlineStr">
        <is>
          <t>Yes</t>
        </is>
      </c>
      <c r="AC61" s="15" t="n"/>
      <c r="AD61" s="15" t="n"/>
      <c r="AE61" s="15" t="inlineStr">
        <is>
          <t>Yes</t>
        </is>
      </c>
      <c r="AF61" s="15" t="n"/>
      <c r="AG61" s="15" t="n"/>
      <c r="AH61" s="15" t="n"/>
      <c r="AI61" s="15" t="inlineStr">
        <is>
          <t>Yes</t>
        </is>
      </c>
      <c r="AJ61" s="15" t="n"/>
      <c r="AK61" s="16" t="inlineStr">
        <is>
          <t>Client A - Platform A1 (GovCloud) - ENG-017
Client A - Platform A1 Maintenance Phase 1 &amp;2 - ENG-003
Client A - Platform A1 in GovCloud - ENG-004</t>
        </is>
      </c>
      <c r="AL61" s="15" t="inlineStr">
        <is>
          <t>Masked Person 1</t>
        </is>
      </c>
    </row>
    <row r="62" ht="15" customHeight="1" s="350">
      <c r="A62" t="inlineStr">
        <is>
          <t>Masked Person 11</t>
        </is>
      </c>
      <c r="B62" s="25" t="inlineStr">
        <is>
          <t>Male</t>
        </is>
      </c>
      <c r="C62" t="inlineStr">
        <is>
          <t>Senior Manager 1</t>
        </is>
      </c>
      <c r="D62" t="inlineStr">
        <is>
          <t>Benching for 10 week(s)</t>
        </is>
      </c>
      <c r="E62" s="14" t="n">
        <v>0</v>
      </c>
      <c r="F62" s="14" t="n">
        <v>0</v>
      </c>
      <c r="G62" s="14" t="n">
        <v>0</v>
      </c>
      <c r="H62" s="14" t="n">
        <v>0</v>
      </c>
      <c r="I62" s="14" t="n">
        <v>0</v>
      </c>
      <c r="J62" s="14" t="n">
        <v>0</v>
      </c>
      <c r="K62" s="14" t="n">
        <v>0</v>
      </c>
      <c r="L62" s="14" t="n">
        <v>0</v>
      </c>
      <c r="M62" s="14" t="n">
        <v>0</v>
      </c>
      <c r="N62" s="14" t="n">
        <v>0</v>
      </c>
      <c r="O62" s="123" t="n"/>
      <c r="P62" s="2">
        <f>IF($G62&gt;=100%,"NA",IF(G62=0%,"Bench","Partial Bench"))</f>
        <v/>
      </c>
      <c r="Q62" s="153" t="n"/>
      <c r="R62" s="153" t="n"/>
      <c r="S62" s="153" t="n"/>
      <c r="T62" s="153" t="n"/>
      <c r="U62" s="32" t="n"/>
      <c r="V62" s="32" t="n"/>
      <c r="W62" s="15" t="inlineStr">
        <is>
          <t>PR (Malaysian)</t>
        </is>
      </c>
      <c r="X62" s="15" t="inlineStr">
        <is>
          <t>System Migration</t>
        </is>
      </c>
      <c r="Y62" s="15" t="inlineStr">
        <is>
          <t>Data Architect</t>
        </is>
      </c>
      <c r="Z62" s="15" t="n"/>
      <c r="AA62" s="41" t="n"/>
      <c r="AB62" s="15" t="n"/>
      <c r="AC62" s="15" t="n"/>
      <c r="AD62" s="15" t="n"/>
      <c r="AE62" s="15" t="n"/>
      <c r="AF62" s="15" t="n"/>
      <c r="AG62" s="15" t="n"/>
      <c r="AH62" s="15" t="n"/>
      <c r="AI62" s="15" t="n"/>
      <c r="AJ62" s="15" t="inlineStr">
        <is>
          <t>AI Philosopist</t>
        </is>
      </c>
      <c r="AK62" s="16" t="n"/>
      <c r="AL62" s="15" t="n"/>
    </row>
    <row r="63" ht="15" customHeight="1" s="350">
      <c r="A63" t="inlineStr">
        <is>
          <t>Masked Person 16</t>
        </is>
      </c>
      <c r="B63" s="25" t="inlineStr">
        <is>
          <t>Female</t>
        </is>
      </c>
      <c r="C63" t="inlineStr">
        <is>
          <t>Senior Manager 3</t>
        </is>
      </c>
      <c r="D63" t="inlineStr">
        <is>
          <t>Benching for 10 week(s)</t>
        </is>
      </c>
      <c r="E63" s="14" t="n">
        <v>0</v>
      </c>
      <c r="F63" s="14" t="n">
        <v>0</v>
      </c>
      <c r="G63" s="14" t="n">
        <v>0</v>
      </c>
      <c r="H63" s="14" t="n">
        <v>0</v>
      </c>
      <c r="I63" s="14" t="n">
        <v>0</v>
      </c>
      <c r="J63" s="14" t="n">
        <v>0</v>
      </c>
      <c r="K63" s="14" t="n">
        <v>0</v>
      </c>
      <c r="L63" s="14" t="n">
        <v>0</v>
      </c>
      <c r="M63" s="14" t="n">
        <v>0</v>
      </c>
      <c r="N63" s="14" t="n">
        <v>0</v>
      </c>
      <c r="O63" s="123" t="n"/>
      <c r="P63" s="2">
        <f>IF($G63&gt;=100%,"NA",IF(G63=0%,"Bench","Partial Bench"))</f>
        <v/>
      </c>
      <c r="Q63" s="153" t="n"/>
      <c r="R63" s="153" t="n"/>
      <c r="S63" s="153" t="n"/>
      <c r="T63" s="153" t="n"/>
      <c r="U63" s="32" t="n"/>
      <c r="V63" s="32" t="n"/>
      <c r="W63" s="15" t="inlineStr">
        <is>
          <t>EP (Indian)</t>
        </is>
      </c>
      <c r="X63" s="15" t="inlineStr">
        <is>
          <t>Project Lead</t>
        </is>
      </c>
      <c r="Y63" s="15" t="inlineStr">
        <is>
          <t>Project Management, Business Analysis</t>
        </is>
      </c>
      <c r="Z63" s="15" t="n"/>
      <c r="AA63" s="41" t="n"/>
      <c r="AB63" s="15" t="n"/>
      <c r="AC63" s="15" t="n"/>
      <c r="AD63" s="15" t="n"/>
      <c r="AE63" s="15" t="n"/>
      <c r="AF63" s="15" t="n"/>
      <c r="AG63" s="15" t="n"/>
      <c r="AH63" s="15" t="n"/>
      <c r="AI63" s="15" t="n"/>
      <c r="AJ63" s="15" t="n"/>
      <c r="AK63" s="16" t="n"/>
      <c r="AL63" s="15" t="n"/>
    </row>
    <row r="64" ht="15" customHeight="1" s="350">
      <c r="A64" t="inlineStr">
        <is>
          <t>Masked Person 29</t>
        </is>
      </c>
      <c r="B64" s="25" t="inlineStr">
        <is>
          <t>Male</t>
        </is>
      </c>
      <c r="C64" t="inlineStr">
        <is>
          <t>Senior Manager 3</t>
        </is>
      </c>
      <c r="D64" t="inlineStr">
        <is>
          <t>Benching for 10 week(s)</t>
        </is>
      </c>
      <c r="E64" s="14" t="n">
        <v>0</v>
      </c>
      <c r="F64" s="14" t="n">
        <v>0</v>
      </c>
      <c r="G64" s="14" t="n">
        <v>0</v>
      </c>
      <c r="H64" s="14" t="n">
        <v>0</v>
      </c>
      <c r="I64" s="14" t="n">
        <v>0</v>
      </c>
      <c r="J64" s="14" t="n">
        <v>0</v>
      </c>
      <c r="K64" s="14" t="n">
        <v>0</v>
      </c>
      <c r="L64" s="14" t="n">
        <v>0</v>
      </c>
      <c r="M64" s="14" t="n">
        <v>0</v>
      </c>
      <c r="N64" s="14" t="n">
        <v>0</v>
      </c>
      <c r="O64" s="123" t="n"/>
      <c r="P64" s="2">
        <f>IF($G64&gt;=100%,"NA",IF(G64=0%,"Bench","Partial Bench"))</f>
        <v/>
      </c>
      <c r="Q64" s="153" t="n"/>
      <c r="R64" s="153" t="n"/>
      <c r="S64" s="153" t="n"/>
      <c r="T64" s="153" t="n"/>
      <c r="U64" s="32" t="n"/>
      <c r="V64" s="32" t="n"/>
      <c r="W64" s="15" t="inlineStr">
        <is>
          <t>EP (Indian)</t>
        </is>
      </c>
      <c r="X64" s="15" t="n"/>
      <c r="Y64" s="15" t="inlineStr">
        <is>
          <t>AI Scientist (Machine Learning, Computer Vision, Language AI, Generative AI, Agentic AI)</t>
        </is>
      </c>
      <c r="Z64" s="15" t="inlineStr">
        <is>
          <t>AI Strategy &amp; Consulting</t>
        </is>
      </c>
      <c r="AA64" s="41" t="n"/>
      <c r="AB64" s="15" t="n"/>
      <c r="AC64" s="15" t="n"/>
      <c r="AD64" s="15" t="n"/>
      <c r="AE64" s="15" t="n"/>
      <c r="AF64" s="15" t="n"/>
      <c r="AG64" s="15" t="n"/>
      <c r="AH64" s="15" t="n"/>
      <c r="AI64" s="15" t="n"/>
      <c r="AJ64" s="15" t="inlineStr">
        <is>
          <t>AI Scientist (Machine Learning, Computer Vision, Language AI, Generative AI, Agentic AI)</t>
        </is>
      </c>
      <c r="AK64" s="16" t="n"/>
      <c r="AL64" s="15" t="n"/>
    </row>
    <row r="65" ht="15" customHeight="1" s="350">
      <c r="A65" t="inlineStr">
        <is>
          <t>Masked Person 40</t>
        </is>
      </c>
      <c r="B65" s="25" t="inlineStr">
        <is>
          <t>Female</t>
        </is>
      </c>
      <c r="C65" t="inlineStr">
        <is>
          <t>Senior Manager 3</t>
        </is>
      </c>
      <c r="D65" t="inlineStr">
        <is>
          <t>Benching for 10 week(s)</t>
        </is>
      </c>
      <c r="E65" s="14" t="n">
        <v>0</v>
      </c>
      <c r="F65" s="14" t="n">
        <v>0</v>
      </c>
      <c r="G65" s="14" t="n">
        <v>0</v>
      </c>
      <c r="H65" s="14" t="n">
        <v>0</v>
      </c>
      <c r="I65" s="14" t="n">
        <v>0</v>
      </c>
      <c r="J65" s="14" t="n">
        <v>0</v>
      </c>
      <c r="K65" s="14" t="n">
        <v>0</v>
      </c>
      <c r="L65" s="14" t="n">
        <v>0</v>
      </c>
      <c r="M65" s="14" t="n">
        <v>0</v>
      </c>
      <c r="N65" s="14" t="n">
        <v>0</v>
      </c>
      <c r="O65" s="123" t="n"/>
      <c r="P65" s="2">
        <f>IF($G65&gt;=100%,"NA",IF(G65=0%,"Bench","Partial Bench"))</f>
        <v/>
      </c>
      <c r="Q65" s="153" t="n"/>
      <c r="R65" s="153" t="n"/>
      <c r="S65" s="153" t="n"/>
      <c r="T65" s="153" t="n"/>
      <c r="U65" s="32" t="n"/>
      <c r="V65" s="32" t="n"/>
      <c r="W65" s="15" t="inlineStr">
        <is>
          <t>EP (Indian)</t>
        </is>
      </c>
      <c r="X65" s="15" t="n"/>
      <c r="Y65" s="15" t="inlineStr">
        <is>
          <t>Data Governance</t>
        </is>
      </c>
      <c r="Z65" s="15" t="inlineStr">
        <is>
          <t>Data Processing with Python, Databricks</t>
        </is>
      </c>
      <c r="AA65" s="41" t="n"/>
      <c r="AB65" s="15" t="n"/>
      <c r="AC65" s="15" t="n"/>
      <c r="AD65" s="15" t="n"/>
      <c r="AE65" s="15" t="n"/>
      <c r="AF65" s="15" t="n"/>
      <c r="AG65" s="15" t="n"/>
      <c r="AH65" s="15" t="n"/>
      <c r="AI65" s="15" t="n"/>
      <c r="AJ65" s="15" t="inlineStr">
        <is>
          <t>AI Engineering</t>
        </is>
      </c>
      <c r="AK65" s="16" t="n"/>
      <c r="AL65" s="15" t="n"/>
    </row>
    <row r="66" ht="15" customHeight="1" s="350">
      <c r="A66" t="inlineStr">
        <is>
          <t>Masked Person 61</t>
        </is>
      </c>
      <c r="B66" s="25" t="inlineStr">
        <is>
          <t>Male</t>
        </is>
      </c>
      <c r="C66" t="inlineStr">
        <is>
          <t>Senior Manager 3</t>
        </is>
      </c>
      <c r="D66" t="inlineStr">
        <is>
          <t>Benching for 10 week(s)</t>
        </is>
      </c>
      <c r="E66" s="14" t="n">
        <v>0</v>
      </c>
      <c r="F66" s="14" t="n">
        <v>0</v>
      </c>
      <c r="G66" s="14" t="n">
        <v>0</v>
      </c>
      <c r="H66" s="14" t="n">
        <v>0</v>
      </c>
      <c r="I66" s="14" t="n">
        <v>0</v>
      </c>
      <c r="J66" s="14" t="n">
        <v>0</v>
      </c>
      <c r="K66" s="14" t="n">
        <v>0</v>
      </c>
      <c r="L66" s="14" t="n">
        <v>0</v>
      </c>
      <c r="M66" s="14" t="n">
        <v>0</v>
      </c>
      <c r="N66" s="14" t="n">
        <v>0</v>
      </c>
      <c r="O66" s="123" t="n"/>
      <c r="P66" s="2">
        <f>IF($G66&gt;=100%,"NA",IF(G66=0%,"Bench","Partial Bench"))</f>
        <v/>
      </c>
      <c r="Q66" s="153" t="n"/>
      <c r="R66" s="153" t="n"/>
      <c r="S66" s="153" t="n"/>
      <c r="T66" s="153" t="n"/>
      <c r="U66" s="32" t="n"/>
      <c r="V66" s="32" t="n"/>
      <c r="W66" s="15" t="inlineStr">
        <is>
          <t>EP (Indian)</t>
        </is>
      </c>
      <c r="X66" s="15" t="n"/>
      <c r="Y66" s="15" t="inlineStr">
        <is>
          <t>Project Management, Data Modeling, Data Governance, Pre-sales solution</t>
        </is>
      </c>
      <c r="Z66" s="15" t="inlineStr">
        <is>
          <t>Solution  Architecture</t>
        </is>
      </c>
      <c r="AA66" s="41" t="n"/>
      <c r="AB66" s="15" t="n"/>
      <c r="AC66" s="15" t="n"/>
      <c r="AD66" s="15" t="n"/>
      <c r="AE66" s="15" t="n"/>
      <c r="AF66" s="15" t="n"/>
      <c r="AG66" s="15" t="n"/>
      <c r="AH66" s="15" t="n"/>
      <c r="AI66" s="15" t="n"/>
      <c r="AJ66" s="15" t="inlineStr">
        <is>
          <t>Data Practice management</t>
        </is>
      </c>
      <c r="AK66" s="16" t="n"/>
      <c r="AL66" s="15" t="n"/>
    </row>
    <row r="67" ht="15" customHeight="1" s="350">
      <c r="A67" t="inlineStr">
        <is>
          <t>Masked Person 1</t>
        </is>
      </c>
      <c r="B67" s="25" t="inlineStr">
        <is>
          <t>Male</t>
        </is>
      </c>
      <c r="C67" t="inlineStr">
        <is>
          <t>Senior Manager 1</t>
        </is>
      </c>
      <c r="D67" t="inlineStr">
        <is>
          <t>Coming on bench in 15 week(s)</t>
        </is>
      </c>
      <c r="E67" s="14" t="n">
        <v>0.386667</v>
      </c>
      <c r="F67" s="14" t="n">
        <v>0.386649583333333</v>
      </c>
      <c r="G67" s="14" t="n">
        <v>0.386667</v>
      </c>
      <c r="H67" s="14" t="n">
        <v>0.386667</v>
      </c>
      <c r="I67" s="14" t="n">
        <v>0.386667</v>
      </c>
      <c r="J67" s="14" t="n">
        <v>0.386667</v>
      </c>
      <c r="K67" s="14" t="n">
        <v>0.386667</v>
      </c>
      <c r="L67" s="14" t="n">
        <v>0.386667</v>
      </c>
      <c r="M67" s="14" t="n">
        <v>0.386667</v>
      </c>
      <c r="N67" s="14" t="n">
        <v>0.386667</v>
      </c>
      <c r="O67" s="123" t="n"/>
      <c r="P67" s="2">
        <f>IF($G67&gt;=100%,"NA",IF(G67=0%,"Bench","Partial Bench"))</f>
        <v/>
      </c>
      <c r="Q67" s="153" t="n"/>
      <c r="R67" s="153" t="n"/>
      <c r="S67" s="153" t="n"/>
      <c r="T67" s="153" t="n"/>
      <c r="U67" s="32" t="n"/>
      <c r="V67" s="32" t="n"/>
      <c r="W67" s="15" t="inlineStr">
        <is>
          <t>Singaporean</t>
        </is>
      </c>
      <c r="X67" s="15" t="n"/>
      <c r="Y67" s="15" t="n"/>
      <c r="Z67" s="15" t="n"/>
      <c r="AA67" s="41" t="n"/>
      <c r="AB67" s="15" t="n"/>
      <c r="AC67" s="15" t="n"/>
      <c r="AD67" s="15" t="n"/>
      <c r="AE67" s="15" t="n"/>
      <c r="AF67" s="15" t="n"/>
      <c r="AG67" s="15" t="n"/>
      <c r="AH67" s="15" t="n"/>
      <c r="AI67" s="15" t="n"/>
      <c r="AJ67" s="15" t="n"/>
      <c r="AK67" s="16" t="n"/>
      <c r="AL67" s="15" t="n"/>
    </row>
    <row r="68" ht="15" customHeight="1" s="350">
      <c r="A68" t="inlineStr">
        <is>
          <t>Masked Person 69</t>
        </is>
      </c>
      <c r="B68" s="25" t="inlineStr">
        <is>
          <t>Male</t>
        </is>
      </c>
      <c r="C68" t="inlineStr">
        <is>
          <t>Senior Manager 1</t>
        </is>
      </c>
      <c r="D68" t="inlineStr">
        <is>
          <t>Coming on bench in 15 week(s)</t>
        </is>
      </c>
      <c r="E68" s="14" t="n">
        <v>0.5</v>
      </c>
      <c r="F68" s="14" t="n">
        <v>0.5</v>
      </c>
      <c r="G68" s="14" t="n">
        <v>0.5</v>
      </c>
      <c r="H68" s="14" t="n">
        <v>0.5</v>
      </c>
      <c r="I68" s="14" t="n">
        <v>0.5</v>
      </c>
      <c r="J68" s="14" t="n">
        <v>0.5</v>
      </c>
      <c r="K68" s="14" t="n">
        <v>0.5</v>
      </c>
      <c r="L68" s="14" t="n">
        <v>0.5</v>
      </c>
      <c r="M68" s="14" t="n">
        <v>0.5</v>
      </c>
      <c r="N68" s="14" t="n">
        <v>0.5</v>
      </c>
      <c r="O68" s="123" t="n"/>
      <c r="P68" s="2">
        <f>IF($G68&gt;=100%,"NA",IF(G68=0%,"Bench","Partial Bench"))</f>
        <v/>
      </c>
      <c r="Q68" s="153" t="n"/>
      <c r="R68" s="153" t="n"/>
      <c r="S68" s="153" t="n"/>
      <c r="T68" s="153" t="n"/>
      <c r="U68" s="32" t="n"/>
      <c r="V68" s="32" t="n"/>
      <c r="W68" s="15" t="inlineStr">
        <is>
          <t>EP (Indian)</t>
        </is>
      </c>
      <c r="X68" s="15" t="inlineStr">
        <is>
          <t>Architect</t>
        </is>
      </c>
      <c r="Y68" s="15" t="inlineStr">
        <is>
          <t>Infra, Cloud Infra, GovCloud</t>
        </is>
      </c>
      <c r="Z68" s="15" t="inlineStr">
        <is>
          <t>DBA</t>
        </is>
      </c>
      <c r="AA68" s="41" t="n"/>
      <c r="AB68" s="15" t="n"/>
      <c r="AC68" s="15" t="n"/>
      <c r="AD68" s="15" t="n"/>
      <c r="AE68" s="15" t="n"/>
      <c r="AF68" s="15" t="n"/>
      <c r="AG68" s="15" t="n"/>
      <c r="AH68" s="15" t="n"/>
      <c r="AI68" s="15" t="n"/>
      <c r="AJ68" s="15" t="inlineStr">
        <is>
          <t>Enterprise Architect</t>
        </is>
      </c>
      <c r="AK68" s="16" t="n"/>
      <c r="AL68" s="15" t="n"/>
    </row>
    <row r="69" ht="15" customHeight="1" s="350">
      <c r="A69" t="inlineStr">
        <is>
          <t>Masked Person 13</t>
        </is>
      </c>
      <c r="B69" s="25" t="inlineStr">
        <is>
          <t>Female</t>
        </is>
      </c>
      <c r="C69" t="inlineStr">
        <is>
          <t>Senior Manager 1</t>
        </is>
      </c>
      <c r="D69" t="inlineStr">
        <is>
          <t>Coming on bench in 32 week(s)</t>
        </is>
      </c>
      <c r="E69" s="14" t="n">
        <v>0.212121</v>
      </c>
      <c r="F69" s="14" t="n">
        <v>0.212121</v>
      </c>
      <c r="G69" s="14" t="n">
        <v>0.212121</v>
      </c>
      <c r="H69" s="14" t="n">
        <v>0.212121</v>
      </c>
      <c r="I69" s="14" t="n">
        <v>0.212121</v>
      </c>
      <c r="J69" s="14" t="n">
        <v>0.212121</v>
      </c>
      <c r="K69" s="14" t="n">
        <v>0.212121</v>
      </c>
      <c r="L69" s="14" t="n">
        <v>0.212121</v>
      </c>
      <c r="M69" s="14" t="n">
        <v>0.212121</v>
      </c>
      <c r="N69" s="14" t="n">
        <v>0.212121</v>
      </c>
      <c r="O69" s="123" t="n"/>
      <c r="P69" s="2">
        <f>IF($G69&gt;=100%,"NA",IF(G69=0%,"Bench","Partial Bench"))</f>
        <v/>
      </c>
      <c r="Q69" s="153" t="n"/>
      <c r="R69" s="153" t="n"/>
      <c r="S69" s="153" t="n"/>
      <c r="T69" s="153" t="n"/>
      <c r="U69" s="32" t="n"/>
      <c r="V69" s="32" t="n"/>
      <c r="W69" s="15" t="inlineStr">
        <is>
          <t>EP (Indian)</t>
        </is>
      </c>
      <c r="X69" s="15" t="n"/>
      <c r="Y69" s="15" t="inlineStr">
        <is>
          <t xml:space="preserve">Project Management, Agile Delivery, Scrum </t>
        </is>
      </c>
      <c r="Z69" s="15" t="inlineStr">
        <is>
          <t xml:space="preserve"> Data Governance </t>
        </is>
      </c>
      <c r="AA69" s="41" t="n"/>
      <c r="AB69" s="15" t="n"/>
      <c r="AC69" s="15" t="n"/>
      <c r="AD69" s="15" t="n"/>
      <c r="AE69" s="15" t="n"/>
      <c r="AF69" s="15" t="n"/>
      <c r="AG69" s="15" t="n"/>
      <c r="AH69" s="15" t="n"/>
      <c r="AI69" s="15" t="n"/>
      <c r="AJ69" s="15" t="inlineStr">
        <is>
          <t xml:space="preserve">AI Strategy and Governance </t>
        </is>
      </c>
      <c r="AK69" s="16" t="n"/>
      <c r="AL69" s="15" t="n"/>
    </row>
    <row r="70" ht="15" customHeight="1" s="350">
      <c r="A70" t="inlineStr">
        <is>
          <t>Masked Person 17</t>
        </is>
      </c>
      <c r="B70" s="25" t="inlineStr">
        <is>
          <t>Male</t>
        </is>
      </c>
      <c r="C70" t="inlineStr">
        <is>
          <t>Senior Manager 3</t>
        </is>
      </c>
      <c r="D70" t="inlineStr">
        <is>
          <t>Coming on bench in 6 week(s)</t>
        </is>
      </c>
      <c r="E70" s="14" t="n">
        <v>0.0470833</v>
      </c>
      <c r="F70" s="14" t="n">
        <v>0.02354165</v>
      </c>
      <c r="G70" s="14" t="n">
        <v>0.0470833</v>
      </c>
      <c r="H70" s="14" t="n">
        <v>0.0470833</v>
      </c>
      <c r="I70" s="14" t="n">
        <v>0.0470833</v>
      </c>
      <c r="J70" s="14" t="n">
        <v>0.0470833</v>
      </c>
      <c r="K70" s="14" t="n">
        <v>0.0470833</v>
      </c>
      <c r="L70" s="14" t="n">
        <v>0.0470833</v>
      </c>
      <c r="M70" s="14" t="n">
        <v>0.0470833</v>
      </c>
      <c r="N70" s="14" t="n">
        <v>0</v>
      </c>
      <c r="O70" s="123" t="n"/>
      <c r="P70" s="2">
        <f>IF($G70&gt;=100%,"NA",IF(G70=0%,"Bench","Partial Bench"))</f>
        <v/>
      </c>
      <c r="Q70" s="153" t="n"/>
      <c r="R70" s="153" t="n"/>
      <c r="S70" s="153" t="n"/>
      <c r="T70" s="153" t="n"/>
      <c r="U70" s="32" t="n"/>
      <c r="V70" s="32" t="n"/>
      <c r="W70" s="15" t="inlineStr">
        <is>
          <t>PR (Indian)</t>
        </is>
      </c>
      <c r="X70" s="15" t="n"/>
      <c r="Y70" s="15" t="inlineStr">
        <is>
          <t>AI Engineering, Solutions Development</t>
        </is>
      </c>
      <c r="Z70" s="15" t="n"/>
      <c r="AA70" s="41" t="n"/>
      <c r="AB70" s="15" t="n"/>
      <c r="AC70" s="15" t="n"/>
      <c r="AD70" s="15" t="n"/>
      <c r="AE70" s="15" t="n"/>
      <c r="AF70" s="15" t="n"/>
      <c r="AG70" s="15" t="n"/>
      <c r="AH70" s="15" t="n"/>
      <c r="AI70" s="15" t="n"/>
      <c r="AJ70" s="15" t="n"/>
      <c r="AK70" s="16" t="n"/>
      <c r="AL70" s="15" t="n"/>
    </row>
    <row r="71" ht="15" customHeight="1" s="350">
      <c r="A71" t="inlineStr">
        <is>
          <t>Masked Person 37</t>
        </is>
      </c>
      <c r="B71" s="25" t="inlineStr">
        <is>
          <t>Female</t>
        </is>
      </c>
      <c r="C71" t="inlineStr">
        <is>
          <t>Senior Manager 3</t>
        </is>
      </c>
      <c r="D71" t="inlineStr">
        <is>
          <t>Coming on bench in 6 week(s)</t>
        </is>
      </c>
      <c r="E71" s="14" t="n">
        <v>0.2</v>
      </c>
      <c r="F71" s="14" t="n">
        <v>0.1</v>
      </c>
      <c r="G71" s="14" t="n">
        <v>0.2</v>
      </c>
      <c r="H71" s="14" t="n">
        <v>0.2</v>
      </c>
      <c r="I71" s="14" t="n">
        <v>0.2</v>
      </c>
      <c r="J71" s="14" t="n">
        <v>0.2</v>
      </c>
      <c r="K71" s="14" t="n">
        <v>0.2</v>
      </c>
      <c r="L71" s="14" t="n">
        <v>0.2</v>
      </c>
      <c r="M71" s="14" t="n">
        <v>0.2</v>
      </c>
      <c r="N71" s="14" t="n">
        <v>0</v>
      </c>
      <c r="O71" s="123" t="n"/>
      <c r="P71" s="2">
        <f>IF($G71&gt;=100%,"NA",IF(G71=0%,"Bench","Partial Bench"))</f>
        <v/>
      </c>
      <c r="Q71" s="153" t="n"/>
      <c r="R71" s="153" t="n"/>
      <c r="S71" s="153" t="n"/>
      <c r="T71" s="153" t="n"/>
      <c r="U71" s="32" t="n"/>
      <c r="V71" s="32" t="n"/>
      <c r="W71" s="15" t="inlineStr">
        <is>
          <t xml:space="preserve">PR </t>
        </is>
      </c>
      <c r="X71" s="15" t="n"/>
      <c r="Y71" s="15" t="n"/>
      <c r="Z71" s="15" t="n"/>
      <c r="AA71" s="41" t="n"/>
      <c r="AB71" s="15" t="n"/>
      <c r="AC71" s="15" t="n"/>
      <c r="AD71" s="15" t="n"/>
      <c r="AE71" s="15" t="n"/>
      <c r="AF71" s="15" t="n"/>
      <c r="AG71" s="15" t="n"/>
      <c r="AH71" s="15" t="n"/>
      <c r="AI71" s="15" t="n"/>
      <c r="AJ71" s="15" t="n"/>
      <c r="AK71" s="16" t="n"/>
      <c r="AL71" s="15" t="n"/>
    </row>
    <row r="72" hidden="1" ht="14.5" customHeight="1" s="350">
      <c r="A72" t="inlineStr">
        <is>
          <t>Masked Person 48</t>
        </is>
      </c>
      <c r="B72" s="25" t="inlineStr">
        <is>
          <t>Male</t>
        </is>
      </c>
      <c r="C72" t="inlineStr">
        <is>
          <t>Intern (CS) 1</t>
        </is>
      </c>
      <c r="D72" t="inlineStr">
        <is>
          <t>Coming on bench in 0 week(s)</t>
        </is>
      </c>
      <c r="E72" s="14" t="n">
        <v>0</v>
      </c>
      <c r="F72" s="14" t="n">
        <v>0</v>
      </c>
      <c r="G72" s="14" t="n">
        <v>0</v>
      </c>
      <c r="H72" s="14" t="n">
        <v>0</v>
      </c>
      <c r="I72" s="14" t="n">
        <v>0</v>
      </c>
      <c r="J72" s="14" t="n">
        <v>0</v>
      </c>
      <c r="K72" s="14" t="n">
        <v>0</v>
      </c>
      <c r="L72" s="14" t="n">
        <v>0</v>
      </c>
      <c r="M72" s="14" t="n">
        <v>0</v>
      </c>
      <c r="N72" s="14" t="n">
        <v>0</v>
      </c>
      <c r="O72" s="14" t="n">
        <v>0</v>
      </c>
      <c r="P72" s="14" t="n">
        <v>0</v>
      </c>
      <c r="Q72" s="14" t="n">
        <v>1</v>
      </c>
      <c r="R72" s="14" t="n">
        <v>1</v>
      </c>
      <c r="S72" s="14" t="n">
        <v>1</v>
      </c>
      <c r="T72" s="14" t="n">
        <v>1</v>
      </c>
      <c r="V72" t="inlineStr">
        <is>
          <t>SG Singapore</t>
        </is>
      </c>
      <c r="AA72" s="28" t="n"/>
    </row>
    <row r="73" ht="43.5" customHeight="1" s="350">
      <c r="E73" s="1" t="n"/>
      <c r="F73" s="1" t="n"/>
      <c r="G73" s="1" t="n"/>
      <c r="H73" s="1" t="n"/>
      <c r="I73" s="1" t="n"/>
      <c r="J73" s="1" t="n"/>
      <c r="K73" s="1" t="n"/>
      <c r="L73" s="1" t="n"/>
      <c r="M73" s="1" t="n"/>
      <c r="N73" s="1" t="n"/>
    </row>
    <row r="74" ht="43.5" customHeight="1" s="350">
      <c r="E74" s="1" t="n"/>
      <c r="F74" s="1" t="n"/>
      <c r="G74" s="1" t="n"/>
      <c r="H74" s="1" t="n"/>
      <c r="I74" s="1" t="n"/>
      <c r="J74" s="1" t="n"/>
      <c r="K74" s="1" t="n"/>
      <c r="L74" s="1" t="n"/>
      <c r="M74" s="1" t="n"/>
      <c r="N74" s="1" t="n"/>
    </row>
    <row r="75" ht="43.5" customHeight="1" s="350">
      <c r="E75" s="1" t="n"/>
      <c r="F75" s="1" t="n"/>
      <c r="G75" s="1" t="n"/>
      <c r="H75" s="1" t="n"/>
      <c r="I75" s="1" t="n"/>
      <c r="J75" s="1" t="n"/>
      <c r="K75" s="1" t="n"/>
      <c r="L75" s="1" t="n"/>
      <c r="M75" s="1" t="n"/>
      <c r="N75" s="1" t="n"/>
    </row>
    <row r="76" ht="43.5" customHeight="1" s="350">
      <c r="E76" s="1" t="n"/>
      <c r="F76" s="1" t="n"/>
      <c r="G76" s="1" t="n"/>
      <c r="H76" s="1" t="n"/>
      <c r="I76" s="1" t="n"/>
      <c r="J76" s="1" t="n"/>
      <c r="K76" s="1" t="n"/>
      <c r="L76" s="1" t="n"/>
      <c r="M76" s="1" t="n"/>
      <c r="N76" s="1" t="n"/>
    </row>
    <row r="77" ht="43.5" customHeight="1" s="350">
      <c r="E77" s="1" t="n"/>
      <c r="F77" s="1" t="n"/>
      <c r="G77" s="1" t="n"/>
      <c r="H77" s="1" t="n"/>
      <c r="I77" s="1" t="n"/>
      <c r="J77" s="1" t="n"/>
      <c r="K77" s="1" t="n"/>
      <c r="L77" s="1" t="n"/>
      <c r="M77" s="1" t="n"/>
      <c r="N77" s="1" t="n"/>
    </row>
    <row r="78" ht="43.5" customHeight="1" s="350">
      <c r="E78" s="1" t="n"/>
      <c r="F78" s="1" t="n"/>
      <c r="G78" s="1" t="n"/>
      <c r="H78" s="1" t="n"/>
      <c r="I78" s="1" t="n"/>
      <c r="J78" s="1" t="n"/>
      <c r="K78" s="1" t="n"/>
      <c r="L78" s="1" t="n"/>
      <c r="M78" s="1" t="n"/>
      <c r="N78" s="1" t="n"/>
    </row>
    <row r="79" ht="43.5" customHeight="1" s="350">
      <c r="E79" s="1" t="n"/>
      <c r="F79" s="1" t="n"/>
      <c r="G79" s="1" t="n"/>
      <c r="H79" s="1" t="n"/>
      <c r="I79" s="1" t="n"/>
      <c r="J79" s="1" t="n"/>
      <c r="K79" s="1" t="n"/>
      <c r="L79" s="1" t="n"/>
      <c r="M79" s="1" t="n"/>
      <c r="N79" s="1" t="n"/>
    </row>
    <row r="80" ht="43.5" customHeight="1" s="350">
      <c r="E80" s="1" t="n"/>
      <c r="F80" s="1" t="n"/>
      <c r="G80" s="1" t="n"/>
      <c r="H80" s="1" t="n"/>
      <c r="I80" s="1" t="n"/>
      <c r="J80" s="1" t="n"/>
      <c r="K80" s="1" t="n"/>
      <c r="L80" s="1" t="n"/>
      <c r="M80" s="1" t="n"/>
      <c r="N80" s="1" t="n"/>
    </row>
    <row r="81" ht="43.5" customHeight="1" s="350">
      <c r="E81" s="1" t="n"/>
      <c r="F81" s="1" t="n"/>
      <c r="G81" s="1" t="n"/>
      <c r="H81" s="1" t="n"/>
      <c r="I81" s="1" t="n"/>
      <c r="J81" s="1" t="n"/>
      <c r="K81" s="1" t="n"/>
      <c r="L81" s="1" t="n"/>
      <c r="M81" s="1" t="n"/>
      <c r="N81" s="1" t="n"/>
    </row>
    <row r="82" ht="43.5" customHeight="1" s="350">
      <c r="E82" s="1" t="n"/>
      <c r="F82" s="1" t="n"/>
      <c r="G82" s="1" t="n"/>
      <c r="H82" s="1" t="n"/>
      <c r="I82" s="1" t="n"/>
      <c r="J82" s="1" t="n"/>
      <c r="K82" s="1" t="n"/>
      <c r="L82" s="1" t="n"/>
      <c r="M82" s="1" t="n"/>
      <c r="N82" s="1" t="n"/>
    </row>
    <row r="83" ht="43.5" customHeight="1" s="350">
      <c r="E83" s="1" t="n"/>
      <c r="F83" s="1" t="n"/>
      <c r="G83" s="1" t="n"/>
      <c r="H83" s="1" t="n"/>
      <c r="I83" s="1" t="n"/>
      <c r="J83" s="1" t="n"/>
      <c r="K83" s="1" t="n"/>
      <c r="L83" s="1" t="n"/>
      <c r="M83" s="1" t="n"/>
      <c r="N83" s="1" t="n"/>
    </row>
    <row r="84" ht="43.5" customHeight="1" s="350">
      <c r="E84" s="1" t="n"/>
      <c r="F84" s="1" t="n"/>
      <c r="G84" s="1" t="n"/>
      <c r="H84" s="1" t="n"/>
      <c r="I84" s="1" t="n"/>
      <c r="J84" s="1" t="n"/>
      <c r="K84" s="1" t="n"/>
      <c r="L84" s="1" t="n"/>
      <c r="M84" s="1" t="n"/>
      <c r="N84" s="1" t="n"/>
    </row>
    <row r="85" ht="43.5" customHeight="1" s="350">
      <c r="E85" s="1" t="n"/>
      <c r="F85" s="1" t="n"/>
      <c r="G85" s="1" t="n"/>
      <c r="H85" s="1" t="n"/>
      <c r="I85" s="1" t="n"/>
      <c r="J85" s="1" t="n"/>
      <c r="K85" s="1" t="n"/>
      <c r="L85" s="1" t="n"/>
      <c r="M85" s="1" t="n"/>
      <c r="N85" s="1" t="n"/>
    </row>
    <row r="86" ht="43.5" customHeight="1" s="350">
      <c r="E86" s="1" t="n"/>
      <c r="F86" s="1" t="n"/>
      <c r="G86" s="1" t="n"/>
      <c r="H86" s="1" t="n"/>
      <c r="I86" s="1" t="n"/>
      <c r="J86" s="1" t="n"/>
      <c r="K86" s="1" t="n"/>
      <c r="L86" s="1" t="n"/>
      <c r="M86" s="1" t="n"/>
      <c r="N86" s="1" t="n"/>
    </row>
    <row r="87" ht="43.5" customHeight="1" s="350">
      <c r="E87" s="1" t="n"/>
      <c r="F87" s="1" t="n"/>
      <c r="G87" s="1" t="n"/>
      <c r="H87" s="1" t="n"/>
      <c r="I87" s="1" t="n"/>
      <c r="J87" s="1" t="n"/>
      <c r="K87" s="1" t="n"/>
      <c r="L87" s="1" t="n"/>
      <c r="M87" s="1" t="n"/>
      <c r="N87" s="1" t="n"/>
    </row>
    <row r="88" ht="43.5" customHeight="1" s="350">
      <c r="E88" s="1" t="n"/>
      <c r="F88" s="1" t="n"/>
      <c r="G88" s="1" t="n"/>
      <c r="H88" s="1" t="n"/>
      <c r="I88" s="1" t="n"/>
      <c r="J88" s="1" t="n"/>
      <c r="K88" s="1" t="n"/>
      <c r="L88" s="1" t="n"/>
      <c r="M88" s="1" t="n"/>
      <c r="N88" s="1" t="n"/>
    </row>
    <row r="89" ht="43.5" customHeight="1" s="350">
      <c r="E89" s="1" t="n"/>
      <c r="F89" s="1" t="n"/>
      <c r="G89" s="1" t="n"/>
      <c r="H89" s="1" t="n"/>
      <c r="I89" s="1" t="n"/>
      <c r="J89" s="1" t="n"/>
      <c r="K89" s="1" t="n"/>
      <c r="L89" s="1" t="n"/>
      <c r="M89" s="1" t="n"/>
      <c r="N89" s="1" t="n"/>
    </row>
    <row r="90" ht="43.5" customHeight="1" s="350">
      <c r="E90" s="1" t="n"/>
      <c r="F90" s="1" t="n"/>
      <c r="G90" s="1" t="n"/>
      <c r="H90" s="1" t="n"/>
      <c r="I90" s="1" t="n"/>
      <c r="J90" s="1" t="n"/>
      <c r="K90" s="1" t="n"/>
      <c r="L90" s="1" t="n"/>
      <c r="M90" s="1" t="n"/>
      <c r="N90" s="1" t="n"/>
    </row>
    <row r="91" ht="43.5" customHeight="1" s="350">
      <c r="E91" s="1" t="n"/>
      <c r="F91" s="1" t="n"/>
      <c r="G91" s="1" t="n"/>
      <c r="H91" s="1" t="n"/>
      <c r="I91" s="1" t="n"/>
      <c r="J91" s="1" t="n"/>
      <c r="K91" s="1" t="n"/>
      <c r="L91" s="1" t="n"/>
      <c r="M91" s="1" t="n"/>
      <c r="N91" s="1" t="n"/>
    </row>
    <row r="92" ht="43.5" customHeight="1" s="350">
      <c r="E92" s="1" t="n"/>
      <c r="F92" s="1" t="n"/>
      <c r="G92" s="1" t="n"/>
      <c r="H92" s="1" t="n"/>
      <c r="I92" s="1" t="n"/>
      <c r="J92" s="1" t="n"/>
      <c r="K92" s="1" t="n"/>
      <c r="L92" s="1" t="n"/>
      <c r="M92" s="1" t="n"/>
      <c r="N92" s="1" t="n"/>
    </row>
    <row r="93" ht="43.5" customHeight="1" s="350">
      <c r="E93" s="1" t="n"/>
      <c r="F93" s="1" t="n"/>
      <c r="G93" s="1" t="n"/>
      <c r="H93" s="1" t="n"/>
      <c r="I93" s="1" t="n"/>
      <c r="J93" s="1" t="n"/>
      <c r="K93" s="1" t="n"/>
      <c r="L93" s="1" t="n"/>
      <c r="M93" s="1" t="n"/>
      <c r="N93" s="1" t="n"/>
    </row>
    <row r="94" ht="43.5" customHeight="1" s="350">
      <c r="E94" s="1" t="n"/>
      <c r="F94" s="1" t="n"/>
      <c r="G94" s="1" t="n"/>
      <c r="H94" s="1" t="n"/>
      <c r="I94" s="1" t="n"/>
      <c r="J94" s="1" t="n"/>
      <c r="K94" s="1" t="n"/>
      <c r="L94" s="1" t="n"/>
      <c r="M94" s="1" t="n"/>
      <c r="N94" s="1" t="n"/>
    </row>
    <row r="95" ht="43.5" customHeight="1" s="350">
      <c r="E95" s="1" t="n"/>
      <c r="F95" s="1" t="n"/>
      <c r="G95" s="1" t="n"/>
      <c r="H95" s="1" t="n"/>
      <c r="I95" s="1" t="n"/>
      <c r="J95" s="1" t="n"/>
      <c r="K95" s="1" t="n"/>
      <c r="L95" s="1" t="n"/>
      <c r="M95" s="1" t="n"/>
      <c r="N95" s="1" t="n"/>
    </row>
    <row r="96" ht="43.5" customHeight="1" s="350">
      <c r="E96" s="1" t="n"/>
      <c r="F96" s="1" t="n"/>
      <c r="G96" s="1" t="n"/>
      <c r="H96" s="1" t="n"/>
      <c r="I96" s="1" t="n"/>
      <c r="J96" s="1" t="n"/>
      <c r="K96" s="1" t="n"/>
      <c r="L96" s="1" t="n"/>
      <c r="M96" s="1" t="n"/>
      <c r="N96" s="1" t="n"/>
    </row>
    <row r="97" ht="43.5" customHeight="1" s="350">
      <c r="E97" s="1" t="n"/>
      <c r="F97" s="1" t="n"/>
      <c r="G97" s="1" t="n"/>
      <c r="H97" s="1" t="n"/>
      <c r="I97" s="1" t="n"/>
      <c r="J97" s="1" t="n"/>
      <c r="K97" s="1" t="n"/>
      <c r="L97" s="1" t="n"/>
      <c r="M97" s="1" t="n"/>
      <c r="N97" s="1" t="n"/>
    </row>
    <row r="98" ht="43.5" customHeight="1" s="350">
      <c r="E98" s="1" t="n"/>
      <c r="F98" s="1" t="n"/>
      <c r="G98" s="1" t="n"/>
      <c r="H98" s="1" t="n"/>
      <c r="I98" s="1" t="n"/>
      <c r="J98" s="1" t="n"/>
      <c r="K98" s="1" t="n"/>
      <c r="L98" s="1" t="n"/>
      <c r="M98" s="1" t="n"/>
      <c r="N98" s="1" t="n"/>
    </row>
    <row r="99" ht="43.5" customHeight="1" s="350">
      <c r="E99" s="1" t="n"/>
      <c r="F99" s="1" t="n"/>
      <c r="G99" s="1" t="n"/>
      <c r="H99" s="1" t="n"/>
      <c r="I99" s="1" t="n"/>
      <c r="J99" s="1" t="n"/>
      <c r="K99" s="1" t="n"/>
      <c r="L99" s="1" t="n"/>
      <c r="M99" s="1" t="n"/>
      <c r="N99" s="1" t="n"/>
    </row>
    <row r="100" ht="43.5" customHeight="1" s="350">
      <c r="E100" s="1" t="n"/>
      <c r="F100" s="1" t="n"/>
      <c r="G100" s="1" t="n"/>
      <c r="H100" s="1" t="n"/>
      <c r="I100" s="1" t="n"/>
      <c r="J100" s="1" t="n"/>
      <c r="K100" s="1" t="n"/>
      <c r="L100" s="1" t="n"/>
      <c r="M100" s="1" t="n"/>
      <c r="N100" s="1" t="n"/>
    </row>
    <row r="101" ht="43.5" customHeight="1" s="350">
      <c r="E101" s="1" t="n"/>
      <c r="F101" s="1" t="n"/>
      <c r="G101" s="1" t="n"/>
      <c r="H101" s="1" t="n"/>
      <c r="I101" s="1" t="n"/>
      <c r="J101" s="1" t="n"/>
      <c r="K101" s="1" t="n"/>
      <c r="L101" s="1" t="n"/>
      <c r="M101" s="1" t="n"/>
      <c r="N101" s="1" t="n"/>
    </row>
    <row r="102" ht="43.5" customHeight="1" s="350">
      <c r="E102" s="1" t="n"/>
      <c r="F102" s="1" t="n"/>
      <c r="G102" s="1" t="n"/>
      <c r="H102" s="1" t="n"/>
      <c r="I102" s="1" t="n"/>
      <c r="J102" s="1" t="n"/>
      <c r="K102" s="1" t="n"/>
      <c r="L102" s="1" t="n"/>
      <c r="M102" s="1" t="n"/>
      <c r="N102" s="1" t="n"/>
    </row>
    <row r="103" ht="43.5" customHeight="1" s="350">
      <c r="E103" s="1" t="n"/>
      <c r="F103" s="1" t="n"/>
      <c r="G103" s="1" t="n"/>
      <c r="H103" s="1" t="n"/>
      <c r="I103" s="1" t="n"/>
      <c r="J103" s="1" t="n"/>
      <c r="K103" s="1" t="n"/>
      <c r="L103" s="1" t="n"/>
      <c r="M103" s="1" t="n"/>
      <c r="N103" s="1" t="n"/>
    </row>
    <row r="104" ht="43.5" customHeight="1" s="350">
      <c r="E104" s="1" t="n"/>
      <c r="F104" s="1" t="n"/>
      <c r="G104" s="1" t="n"/>
      <c r="H104" s="1" t="n"/>
      <c r="I104" s="1" t="n"/>
      <c r="J104" s="1" t="n"/>
      <c r="K104" s="1" t="n"/>
      <c r="L104" s="1" t="n"/>
      <c r="M104" s="1" t="n"/>
      <c r="N104" s="1" t="n"/>
    </row>
    <row r="105" ht="43.5" customHeight="1" s="350">
      <c r="E105" s="1" t="n"/>
      <c r="F105" s="1" t="n"/>
      <c r="G105" s="1" t="n"/>
      <c r="H105" s="1" t="n"/>
      <c r="I105" s="1" t="n"/>
      <c r="J105" s="1" t="n"/>
      <c r="K105" s="1" t="n"/>
      <c r="L105" s="1" t="n"/>
      <c r="M105" s="1" t="n"/>
      <c r="N105" s="1" t="n"/>
    </row>
    <row r="106" ht="43.5" customHeight="1" s="350">
      <c r="E106" s="1" t="n"/>
      <c r="F106" s="1" t="n"/>
      <c r="G106" s="1" t="n"/>
      <c r="H106" s="1" t="n"/>
      <c r="I106" s="1" t="n"/>
      <c r="J106" s="1" t="n"/>
      <c r="K106" s="1" t="n"/>
      <c r="L106" s="1" t="n"/>
      <c r="M106" s="1" t="n"/>
      <c r="N106" s="1" t="n"/>
    </row>
    <row r="107" ht="43.5" customHeight="1" s="350">
      <c r="E107" s="1" t="n"/>
      <c r="F107" s="1" t="n"/>
      <c r="G107" s="1" t="n"/>
      <c r="H107" s="1" t="n"/>
      <c r="I107" s="1" t="n"/>
      <c r="J107" s="1" t="n"/>
      <c r="K107" s="1" t="n"/>
      <c r="L107" s="1" t="n"/>
      <c r="M107" s="1" t="n"/>
      <c r="N107" s="1" t="n"/>
    </row>
    <row r="108" ht="43.5" customHeight="1" s="350">
      <c r="E108" s="1" t="n"/>
      <c r="F108" s="1" t="n"/>
      <c r="G108" s="1" t="n"/>
      <c r="H108" s="1" t="n"/>
      <c r="I108" s="1" t="n"/>
      <c r="J108" s="1" t="n"/>
      <c r="K108" s="1" t="n"/>
      <c r="L108" s="1" t="n"/>
      <c r="M108" s="1" t="n"/>
      <c r="N108" s="1" t="n"/>
    </row>
    <row r="109" ht="43.5" customHeight="1" s="350">
      <c r="E109" s="1" t="n"/>
      <c r="F109" s="1" t="n"/>
      <c r="G109" s="1" t="n"/>
      <c r="H109" s="1" t="n"/>
      <c r="I109" s="1" t="n"/>
      <c r="J109" s="1" t="n"/>
      <c r="K109" s="1" t="n"/>
      <c r="L109" s="1" t="n"/>
      <c r="M109" s="1" t="n"/>
      <c r="N109" s="1" t="n"/>
    </row>
    <row r="110" ht="43.5" customHeight="1" s="350">
      <c r="E110" s="1" t="n"/>
      <c r="F110" s="1" t="n"/>
      <c r="G110" s="1" t="n"/>
      <c r="H110" s="1" t="n"/>
      <c r="I110" s="1" t="n"/>
      <c r="J110" s="1" t="n"/>
      <c r="K110" s="1" t="n"/>
      <c r="L110" s="1" t="n"/>
      <c r="M110" s="1" t="n"/>
      <c r="N110" s="1" t="n"/>
    </row>
    <row r="111" ht="43.5" customHeight="1" s="350">
      <c r="E111" s="1" t="n"/>
      <c r="F111" s="1" t="n"/>
      <c r="G111" s="1" t="n"/>
      <c r="H111" s="1" t="n"/>
      <c r="I111" s="1" t="n"/>
      <c r="J111" s="1" t="n"/>
      <c r="K111" s="1" t="n"/>
      <c r="L111" s="1" t="n"/>
      <c r="M111" s="1" t="n"/>
      <c r="N111" s="1" t="n"/>
    </row>
    <row r="112" ht="43.5" customHeight="1" s="350">
      <c r="E112" s="1" t="n"/>
      <c r="F112" s="1" t="n"/>
      <c r="G112" s="1" t="n"/>
      <c r="H112" s="1" t="n"/>
      <c r="I112" s="1" t="n"/>
      <c r="J112" s="1" t="n"/>
      <c r="K112" s="1" t="n"/>
      <c r="L112" s="1" t="n"/>
      <c r="M112" s="1" t="n"/>
      <c r="N112" s="1" t="n"/>
    </row>
    <row r="113" ht="43.5" customHeight="1" s="350">
      <c r="E113" s="1" t="n"/>
      <c r="F113" s="1" t="n"/>
      <c r="G113" s="1" t="n"/>
      <c r="H113" s="1" t="n"/>
      <c r="I113" s="1" t="n"/>
      <c r="J113" s="1" t="n"/>
      <c r="K113" s="1" t="n"/>
      <c r="L113" s="1" t="n"/>
      <c r="M113" s="1" t="n"/>
      <c r="N113" s="1" t="n"/>
    </row>
    <row r="114" ht="43.5" customHeight="1" s="350">
      <c r="E114" s="1" t="n"/>
      <c r="F114" s="1" t="n"/>
      <c r="G114" s="1" t="n"/>
      <c r="H114" s="1" t="n"/>
      <c r="I114" s="1" t="n"/>
      <c r="J114" s="1" t="n"/>
      <c r="K114" s="1" t="n"/>
      <c r="L114" s="1" t="n"/>
      <c r="M114" s="1" t="n"/>
      <c r="N114" s="1" t="n"/>
    </row>
    <row r="115" ht="43.5" customHeight="1" s="350">
      <c r="E115" s="1" t="n"/>
      <c r="F115" s="1" t="n"/>
      <c r="G115" s="1" t="n"/>
      <c r="H115" s="1" t="n"/>
      <c r="I115" s="1" t="n"/>
      <c r="J115" s="1" t="n"/>
      <c r="K115" s="1" t="n"/>
      <c r="L115" s="1" t="n"/>
      <c r="M115" s="1" t="n"/>
      <c r="N115" s="1" t="n"/>
    </row>
    <row r="116" ht="43.5" customHeight="1" s="350">
      <c r="E116" s="1" t="n"/>
      <c r="F116" s="1" t="n"/>
      <c r="G116" s="1" t="n"/>
      <c r="H116" s="1" t="n"/>
      <c r="I116" s="1" t="n"/>
      <c r="J116" s="1" t="n"/>
      <c r="K116" s="1" t="n"/>
      <c r="L116" s="1" t="n"/>
      <c r="M116" s="1" t="n"/>
      <c r="N116" s="1" t="n"/>
    </row>
    <row r="117" ht="43.5" customHeight="1" s="350">
      <c r="E117" s="1" t="n"/>
      <c r="F117" s="1" t="n"/>
      <c r="G117" s="1" t="n"/>
      <c r="H117" s="1" t="n"/>
      <c r="I117" s="1" t="n"/>
      <c r="J117" s="1" t="n"/>
      <c r="K117" s="1" t="n"/>
      <c r="L117" s="1" t="n"/>
      <c r="M117" s="1" t="n"/>
      <c r="N117" s="1" t="n"/>
    </row>
    <row r="118" ht="43.5" customHeight="1" s="350">
      <c r="E118" s="1" t="n"/>
      <c r="F118" s="1" t="n"/>
      <c r="G118" s="1" t="n"/>
      <c r="H118" s="1" t="n"/>
      <c r="I118" s="1" t="n"/>
      <c r="J118" s="1" t="n"/>
      <c r="K118" s="1" t="n"/>
      <c r="L118" s="1" t="n"/>
      <c r="M118" s="1" t="n"/>
      <c r="N118" s="1" t="n"/>
    </row>
    <row r="119" ht="43.5" customHeight="1" s="350">
      <c r="E119" s="1" t="n"/>
      <c r="F119" s="1" t="n"/>
      <c r="G119" s="1" t="n"/>
      <c r="H119" s="1" t="n"/>
      <c r="I119" s="1" t="n"/>
      <c r="J119" s="1" t="n"/>
      <c r="K119" s="1" t="n"/>
      <c r="L119" s="1" t="n"/>
      <c r="M119" s="1" t="n"/>
      <c r="N119" s="1" t="n"/>
    </row>
    <row r="120" ht="43.5" customHeight="1" s="350">
      <c r="E120" s="1" t="n"/>
      <c r="F120" s="1" t="n"/>
      <c r="G120" s="1" t="n"/>
      <c r="H120" s="1" t="n"/>
      <c r="I120" s="1" t="n"/>
      <c r="J120" s="1" t="n"/>
      <c r="K120" s="1" t="n"/>
      <c r="L120" s="1" t="n"/>
      <c r="M120" s="1" t="n"/>
      <c r="N120" s="1" t="n"/>
    </row>
    <row r="121" ht="43.5" customHeight="1" s="350">
      <c r="E121" s="1" t="n"/>
      <c r="F121" s="1" t="n"/>
      <c r="G121" s="1" t="n"/>
      <c r="H121" s="1" t="n"/>
      <c r="I121" s="1" t="n"/>
      <c r="J121" s="1" t="n"/>
      <c r="K121" s="1" t="n"/>
      <c r="L121" s="1" t="n"/>
      <c r="M121" s="1" t="n"/>
      <c r="N121" s="1" t="n"/>
    </row>
    <row r="122" ht="43.5" customHeight="1" s="350">
      <c r="E122" s="1" t="n"/>
      <c r="F122" s="1" t="n"/>
      <c r="G122" s="1" t="n"/>
      <c r="H122" s="1" t="n"/>
      <c r="I122" s="1" t="n"/>
      <c r="J122" s="1" t="n"/>
      <c r="K122" s="1" t="n"/>
      <c r="L122" s="1" t="n"/>
      <c r="M122" s="1" t="n"/>
      <c r="N122" s="1" t="n"/>
    </row>
    <row r="123" ht="43.5" customHeight="1" s="350">
      <c r="E123" s="1" t="n"/>
      <c r="F123" s="1" t="n"/>
      <c r="G123" s="1" t="n"/>
      <c r="H123" s="1" t="n"/>
      <c r="I123" s="1" t="n"/>
      <c r="J123" s="1" t="n"/>
      <c r="K123" s="1" t="n"/>
      <c r="L123" s="1" t="n"/>
      <c r="M123" s="1" t="n"/>
      <c r="N123" s="1" t="n"/>
    </row>
    <row r="124" ht="43.5" customHeight="1" s="350">
      <c r="E124" s="1" t="n"/>
      <c r="F124" s="1" t="n"/>
      <c r="G124" s="1" t="n"/>
      <c r="H124" s="1" t="n"/>
      <c r="I124" s="1" t="n"/>
      <c r="J124" s="1" t="n"/>
      <c r="K124" s="1" t="n"/>
      <c r="L124" s="1" t="n"/>
      <c r="M124" s="1" t="n"/>
      <c r="N124" s="1" t="n"/>
    </row>
    <row r="125" ht="43.5" customHeight="1" s="350">
      <c r="E125" s="1" t="n"/>
      <c r="F125" s="1" t="n"/>
      <c r="G125" s="1" t="n"/>
      <c r="H125" s="1" t="n"/>
      <c r="I125" s="1" t="n"/>
      <c r="J125" s="1" t="n"/>
      <c r="K125" s="1" t="n"/>
      <c r="L125" s="1" t="n"/>
      <c r="M125" s="1" t="n"/>
      <c r="N125" s="1" t="n"/>
    </row>
    <row r="126" ht="43.5" customHeight="1" s="350">
      <c r="E126" s="1" t="n"/>
      <c r="F126" s="1" t="n"/>
      <c r="G126" s="1" t="n"/>
      <c r="H126" s="1" t="n"/>
      <c r="I126" s="1" t="n"/>
      <c r="J126" s="1" t="n"/>
      <c r="K126" s="1" t="n"/>
      <c r="L126" s="1" t="n"/>
      <c r="M126" s="1" t="n"/>
      <c r="N126" s="1" t="n"/>
    </row>
    <row r="127" ht="43.5" customHeight="1" s="350">
      <c r="E127" s="1" t="n"/>
      <c r="F127" s="1" t="n"/>
      <c r="G127" s="1" t="n"/>
      <c r="H127" s="1" t="n"/>
      <c r="I127" s="1" t="n"/>
      <c r="J127" s="1" t="n"/>
      <c r="K127" s="1" t="n"/>
      <c r="L127" s="1" t="n"/>
      <c r="M127" s="1" t="n"/>
      <c r="N127" s="1" t="n"/>
    </row>
    <row r="128" ht="43.5" customHeight="1" s="350">
      <c r="E128" s="1" t="n"/>
      <c r="F128" s="1" t="n"/>
      <c r="G128" s="1" t="n"/>
      <c r="H128" s="1" t="n"/>
      <c r="I128" s="1" t="n"/>
      <c r="J128" s="1" t="n"/>
      <c r="K128" s="1" t="n"/>
      <c r="L128" s="1" t="n"/>
      <c r="M128" s="1" t="n"/>
      <c r="N128" s="1" t="n"/>
    </row>
    <row r="129" ht="43.5" customHeight="1" s="350">
      <c r="E129" s="1" t="n"/>
      <c r="F129" s="1" t="n"/>
      <c r="G129" s="1" t="n"/>
      <c r="H129" s="1" t="n"/>
      <c r="I129" s="1" t="n"/>
      <c r="J129" s="1" t="n"/>
      <c r="K129" s="1" t="n"/>
      <c r="L129" s="1" t="n"/>
      <c r="M129" s="1" t="n"/>
      <c r="N129" s="1" t="n"/>
    </row>
    <row r="130" ht="43.5" customHeight="1" s="350">
      <c r="E130" s="1" t="n"/>
      <c r="F130" s="1" t="n"/>
      <c r="G130" s="1" t="n"/>
      <c r="H130" s="1" t="n"/>
      <c r="I130" s="1" t="n"/>
      <c r="J130" s="1" t="n"/>
      <c r="K130" s="1" t="n"/>
      <c r="L130" s="1" t="n"/>
      <c r="M130" s="1" t="n"/>
      <c r="N130" s="1" t="n"/>
    </row>
    <row r="131" ht="43.5" customHeight="1" s="350">
      <c r="E131" s="1" t="n"/>
      <c r="F131" s="1" t="n"/>
      <c r="G131" s="1" t="n"/>
      <c r="H131" s="1" t="n"/>
      <c r="I131" s="1" t="n"/>
      <c r="J131" s="1" t="n"/>
      <c r="K131" s="1" t="n"/>
      <c r="L131" s="1" t="n"/>
      <c r="M131" s="1" t="n"/>
      <c r="N131" s="1" t="n"/>
    </row>
    <row r="132" ht="43.5" customHeight="1" s="350">
      <c r="E132" s="1" t="n"/>
      <c r="F132" s="1" t="n"/>
      <c r="G132" s="1" t="n"/>
      <c r="H132" s="1" t="n"/>
      <c r="I132" s="1" t="n"/>
      <c r="J132" s="1" t="n"/>
      <c r="K132" s="1" t="n"/>
      <c r="L132" s="1" t="n"/>
      <c r="M132" s="1" t="n"/>
      <c r="N132" s="1" t="n"/>
    </row>
    <row r="133" ht="43.5" customHeight="1" s="350">
      <c r="E133" s="1" t="n"/>
      <c r="F133" s="1" t="n"/>
      <c r="G133" s="1" t="n"/>
      <c r="H133" s="1" t="n"/>
      <c r="I133" s="1" t="n"/>
      <c r="J133" s="1" t="n"/>
      <c r="K133" s="1" t="n"/>
      <c r="L133" s="1" t="n"/>
      <c r="M133" s="1" t="n"/>
      <c r="N133" s="1" t="n"/>
    </row>
    <row r="134" ht="43.5" customHeight="1" s="350">
      <c r="E134" s="1" t="n"/>
      <c r="F134" s="1" t="n"/>
      <c r="G134" s="1" t="n"/>
      <c r="H134" s="1" t="n"/>
      <c r="I134" s="1" t="n"/>
      <c r="J134" s="1" t="n"/>
      <c r="K134" s="1" t="n"/>
      <c r="L134" s="1" t="n"/>
      <c r="M134" s="1" t="n"/>
      <c r="N134" s="1" t="n"/>
    </row>
    <row r="135" ht="43.5" customHeight="1" s="350">
      <c r="E135" s="1" t="n"/>
      <c r="F135" s="1" t="n"/>
      <c r="G135" s="1" t="n"/>
      <c r="H135" s="1" t="n"/>
      <c r="I135" s="1" t="n"/>
      <c r="J135" s="1" t="n"/>
      <c r="K135" s="1" t="n"/>
      <c r="L135" s="1" t="n"/>
      <c r="M135" s="1" t="n"/>
      <c r="N135" s="1" t="n"/>
    </row>
    <row r="136" ht="43.5" customHeight="1" s="350">
      <c r="E136" s="1" t="n"/>
      <c r="F136" s="1" t="n"/>
      <c r="G136" s="1" t="n"/>
      <c r="H136" s="1" t="n"/>
      <c r="I136" s="1" t="n"/>
      <c r="J136" s="1" t="n"/>
      <c r="K136" s="1" t="n"/>
      <c r="L136" s="1" t="n"/>
      <c r="M136" s="1" t="n"/>
      <c r="N136" s="1" t="n"/>
    </row>
    <row r="137" ht="43.5" customHeight="1" s="350">
      <c r="E137" s="1" t="n"/>
      <c r="F137" s="1" t="n"/>
      <c r="G137" s="1" t="n"/>
      <c r="H137" s="1" t="n"/>
      <c r="I137" s="1" t="n"/>
      <c r="J137" s="1" t="n"/>
      <c r="K137" s="1" t="n"/>
      <c r="L137" s="1" t="n"/>
      <c r="M137" s="1" t="n"/>
      <c r="N137" s="1" t="n"/>
    </row>
    <row r="138" ht="43.5" customHeight="1" s="350">
      <c r="E138" s="1" t="n"/>
      <c r="F138" s="1" t="n"/>
      <c r="G138" s="1" t="n"/>
      <c r="H138" s="1" t="n"/>
      <c r="I138" s="1" t="n"/>
      <c r="J138" s="1" t="n"/>
      <c r="K138" s="1" t="n"/>
      <c r="L138" s="1" t="n"/>
      <c r="M138" s="1" t="n"/>
      <c r="N138" s="1" t="n"/>
    </row>
    <row r="139" ht="43.5" customHeight="1" s="350">
      <c r="E139" s="1" t="n"/>
      <c r="F139" s="1" t="n"/>
      <c r="G139" s="1" t="n"/>
      <c r="H139" s="1" t="n"/>
      <c r="I139" s="1" t="n"/>
      <c r="J139" s="1" t="n"/>
      <c r="K139" s="1" t="n"/>
      <c r="L139" s="1" t="n"/>
      <c r="M139" s="1" t="n"/>
      <c r="N139" s="1" t="n"/>
    </row>
    <row r="140" ht="43.5" customHeight="1" s="350">
      <c r="E140" s="1" t="n"/>
      <c r="F140" s="1" t="n"/>
      <c r="G140" s="1" t="n"/>
      <c r="H140" s="1" t="n"/>
      <c r="I140" s="1" t="n"/>
      <c r="J140" s="1" t="n"/>
      <c r="K140" s="1" t="n"/>
      <c r="L140" s="1" t="n"/>
      <c r="M140" s="1" t="n"/>
      <c r="N140" s="1" t="n"/>
    </row>
    <row r="141" ht="43.5" customHeight="1" s="350">
      <c r="E141" s="1" t="n"/>
      <c r="F141" s="1" t="n"/>
      <c r="G141" s="1" t="n"/>
      <c r="H141" s="1" t="n"/>
      <c r="I141" s="1" t="n"/>
      <c r="J141" s="1" t="n"/>
      <c r="K141" s="1" t="n"/>
      <c r="L141" s="1" t="n"/>
      <c r="M141" s="1" t="n"/>
      <c r="N141" s="1" t="n"/>
    </row>
    <row r="142" ht="43.5" customHeight="1" s="350">
      <c r="E142" s="1" t="n"/>
      <c r="F142" s="1" t="n"/>
      <c r="G142" s="1" t="n"/>
      <c r="H142" s="1" t="n"/>
      <c r="I142" s="1" t="n"/>
      <c r="J142" s="1" t="n"/>
      <c r="K142" s="1" t="n"/>
      <c r="L142" s="1" t="n"/>
      <c r="M142" s="1" t="n"/>
      <c r="N142" s="1" t="n"/>
    </row>
    <row r="143" ht="43.5" customHeight="1" s="350">
      <c r="E143" s="1" t="n"/>
      <c r="F143" s="1" t="n"/>
      <c r="G143" s="1" t="n"/>
      <c r="H143" s="1" t="n"/>
      <c r="I143" s="1" t="n"/>
      <c r="J143" s="1" t="n"/>
      <c r="K143" s="1" t="n"/>
      <c r="L143" s="1" t="n"/>
      <c r="M143" s="1" t="n"/>
      <c r="N143" s="1" t="n"/>
    </row>
    <row r="144" ht="43.5" customHeight="1" s="350">
      <c r="E144" s="1" t="n"/>
      <c r="F144" s="1" t="n"/>
      <c r="G144" s="1" t="n"/>
      <c r="H144" s="1" t="n"/>
      <c r="I144" s="1" t="n"/>
      <c r="J144" s="1" t="n"/>
      <c r="K144" s="1" t="n"/>
      <c r="L144" s="1" t="n"/>
      <c r="M144" s="1" t="n"/>
      <c r="N144" s="1" t="n"/>
    </row>
    <row r="145" ht="43.5" customHeight="1" s="350">
      <c r="E145" s="1" t="n"/>
      <c r="F145" s="1" t="n"/>
      <c r="G145" s="1" t="n"/>
      <c r="H145" s="1" t="n"/>
      <c r="I145" s="1" t="n"/>
      <c r="J145" s="1" t="n"/>
      <c r="K145" s="1" t="n"/>
      <c r="L145" s="1" t="n"/>
      <c r="M145" s="1" t="n"/>
      <c r="N145" s="1" t="n"/>
    </row>
    <row r="146" ht="43.5" customHeight="1" s="350">
      <c r="E146" s="1" t="n"/>
      <c r="F146" s="1" t="n"/>
      <c r="G146" s="1" t="n"/>
      <c r="H146" s="1" t="n"/>
      <c r="I146" s="1" t="n"/>
      <c r="J146" s="1" t="n"/>
      <c r="K146" s="1" t="n"/>
      <c r="L146" s="1" t="n"/>
      <c r="M146" s="1" t="n"/>
      <c r="N146" s="1" t="n"/>
    </row>
    <row r="147" ht="43.5" customHeight="1" s="350">
      <c r="E147" s="1" t="n"/>
      <c r="F147" s="1" t="n"/>
      <c r="G147" s="1" t="n"/>
      <c r="H147" s="1" t="n"/>
      <c r="I147" s="1" t="n"/>
      <c r="J147" s="1" t="n"/>
      <c r="K147" s="1" t="n"/>
      <c r="L147" s="1" t="n"/>
      <c r="M147" s="1" t="n"/>
      <c r="N147" s="1" t="n"/>
    </row>
    <row r="148" ht="43.5" customHeight="1" s="350">
      <c r="E148" s="1" t="n"/>
      <c r="F148" s="1" t="n"/>
      <c r="G148" s="1" t="n"/>
      <c r="H148" s="1" t="n"/>
      <c r="I148" s="1" t="n"/>
      <c r="J148" s="1" t="n"/>
      <c r="K148" s="1" t="n"/>
      <c r="L148" s="1" t="n"/>
      <c r="M148" s="1" t="n"/>
      <c r="N148" s="1" t="n"/>
    </row>
    <row r="149" ht="43.5" customHeight="1" s="350">
      <c r="E149" s="1" t="n"/>
      <c r="F149" s="1" t="n"/>
      <c r="G149" s="1" t="n"/>
      <c r="H149" s="1" t="n"/>
      <c r="I149" s="1" t="n"/>
      <c r="J149" s="1" t="n"/>
      <c r="K149" s="1" t="n"/>
      <c r="L149" s="1" t="n"/>
      <c r="M149" s="1" t="n"/>
      <c r="N149" s="1" t="n"/>
    </row>
    <row r="150" ht="43.5" customHeight="1" s="350">
      <c r="E150" s="1" t="n"/>
      <c r="F150" s="1" t="n"/>
      <c r="G150" s="1" t="n"/>
      <c r="H150" s="1" t="n"/>
      <c r="I150" s="1" t="n"/>
      <c r="J150" s="1" t="n"/>
      <c r="K150" s="1" t="n"/>
      <c r="L150" s="1" t="n"/>
      <c r="M150" s="1" t="n"/>
      <c r="N150" s="1" t="n"/>
    </row>
    <row r="151" ht="43.5" customHeight="1" s="350">
      <c r="E151" s="1" t="n"/>
      <c r="F151" s="1" t="n"/>
      <c r="G151" s="1" t="n"/>
      <c r="H151" s="1" t="n"/>
      <c r="I151" s="1" t="n"/>
      <c r="J151" s="1" t="n"/>
      <c r="K151" s="1" t="n"/>
      <c r="L151" s="1" t="n"/>
      <c r="M151" s="1" t="n"/>
      <c r="N151" s="1" t="n"/>
    </row>
    <row r="152" ht="43.5" customHeight="1" s="350">
      <c r="E152" s="1" t="n"/>
      <c r="F152" s="1" t="n"/>
      <c r="G152" s="1" t="n"/>
      <c r="H152" s="1" t="n"/>
      <c r="I152" s="1" t="n"/>
      <c r="J152" s="1" t="n"/>
      <c r="K152" s="1" t="n"/>
      <c r="L152" s="1" t="n"/>
      <c r="M152" s="1" t="n"/>
      <c r="N152" s="1" t="n"/>
    </row>
    <row r="153" ht="43.5" customHeight="1" s="350">
      <c r="E153" s="1" t="n"/>
      <c r="F153" s="1" t="n"/>
      <c r="G153" s="1" t="n"/>
      <c r="H153" s="1" t="n"/>
      <c r="I153" s="1" t="n"/>
      <c r="J153" s="1" t="n"/>
      <c r="K153" s="1" t="n"/>
      <c r="L153" s="1" t="n"/>
      <c r="M153" s="1" t="n"/>
      <c r="N153" s="1" t="n"/>
    </row>
    <row r="154" ht="43.5" customHeight="1" s="350">
      <c r="E154" s="1" t="n"/>
      <c r="F154" s="1" t="n"/>
      <c r="G154" s="1" t="n"/>
      <c r="H154" s="1" t="n"/>
      <c r="I154" s="1" t="n"/>
      <c r="J154" s="1" t="n"/>
      <c r="K154" s="1" t="n"/>
      <c r="L154" s="1" t="n"/>
      <c r="M154" s="1" t="n"/>
      <c r="N154" s="1" t="n"/>
    </row>
    <row r="155" ht="43.5" customHeight="1" s="350">
      <c r="E155" s="1" t="n"/>
      <c r="F155" s="1" t="n"/>
      <c r="G155" s="1" t="n"/>
      <c r="H155" s="1" t="n"/>
      <c r="I155" s="1" t="n"/>
      <c r="J155" s="1" t="n"/>
      <c r="K155" s="1" t="n"/>
      <c r="L155" s="1" t="n"/>
      <c r="M155" s="1" t="n"/>
      <c r="N155" s="1" t="n"/>
    </row>
    <row r="156" ht="43.5" customHeight="1" s="350">
      <c r="E156" s="1" t="n"/>
      <c r="F156" s="1" t="n"/>
      <c r="G156" s="1" t="n"/>
      <c r="H156" s="1" t="n"/>
      <c r="I156" s="1" t="n"/>
      <c r="J156" s="1" t="n"/>
      <c r="K156" s="1" t="n"/>
      <c r="L156" s="1" t="n"/>
      <c r="M156" s="1" t="n"/>
      <c r="N156" s="1" t="n"/>
    </row>
    <row r="157" ht="43.5" customHeight="1" s="350">
      <c r="E157" s="1" t="n"/>
      <c r="F157" s="1" t="n"/>
      <c r="G157" s="1" t="n"/>
      <c r="H157" s="1" t="n"/>
      <c r="I157" s="1" t="n"/>
      <c r="J157" s="1" t="n"/>
      <c r="K157" s="1" t="n"/>
      <c r="L157" s="1" t="n"/>
      <c r="M157" s="1" t="n"/>
      <c r="N157" s="1" t="n"/>
    </row>
    <row r="158" ht="43.5" customHeight="1" s="350">
      <c r="E158" s="1" t="n"/>
      <c r="F158" s="1" t="n"/>
      <c r="G158" s="1" t="n"/>
      <c r="H158" s="1" t="n"/>
      <c r="I158" s="1" t="n"/>
      <c r="J158" s="1" t="n"/>
      <c r="K158" s="1" t="n"/>
      <c r="L158" s="1" t="n"/>
      <c r="M158" s="1" t="n"/>
      <c r="N158" s="1" t="n"/>
    </row>
    <row r="159" ht="43.5" customHeight="1" s="350">
      <c r="E159" s="1" t="n"/>
      <c r="F159" s="1" t="n"/>
      <c r="G159" s="1" t="n"/>
      <c r="H159" s="1" t="n"/>
      <c r="I159" s="1" t="n"/>
      <c r="J159" s="1" t="n"/>
      <c r="K159" s="1" t="n"/>
      <c r="L159" s="1" t="n"/>
      <c r="M159" s="1" t="n"/>
      <c r="N159" s="1" t="n"/>
    </row>
    <row r="160" ht="43.5" customHeight="1" s="350">
      <c r="E160" s="1" t="n"/>
      <c r="F160" s="1" t="n"/>
      <c r="G160" s="1" t="n"/>
      <c r="H160" s="1" t="n"/>
      <c r="I160" s="1" t="n"/>
      <c r="J160" s="1" t="n"/>
      <c r="K160" s="1" t="n"/>
      <c r="L160" s="1" t="n"/>
      <c r="M160" s="1" t="n"/>
      <c r="N160" s="1" t="n"/>
    </row>
    <row r="161" ht="43.5" customHeight="1" s="350">
      <c r="E161" s="1" t="n"/>
      <c r="F161" s="1" t="n"/>
      <c r="G161" s="1" t="n"/>
      <c r="H161" s="1" t="n"/>
      <c r="I161" s="1" t="n"/>
      <c r="J161" s="1" t="n"/>
      <c r="K161" s="1" t="n"/>
      <c r="L161" s="1" t="n"/>
      <c r="M161" s="1" t="n"/>
      <c r="N161" s="1" t="n"/>
    </row>
    <row r="162" ht="43.5" customHeight="1" s="350">
      <c r="E162" s="1" t="n"/>
      <c r="F162" s="1" t="n"/>
      <c r="G162" s="1" t="n"/>
      <c r="H162" s="1" t="n"/>
      <c r="I162" s="1" t="n"/>
      <c r="J162" s="1" t="n"/>
      <c r="K162" s="1" t="n"/>
      <c r="L162" s="1" t="n"/>
      <c r="M162" s="1" t="n"/>
      <c r="N162" s="1" t="n"/>
    </row>
    <row r="163" ht="43.5" customHeight="1" s="350">
      <c r="E163" s="1" t="n"/>
      <c r="F163" s="1" t="n"/>
      <c r="G163" s="1" t="n"/>
      <c r="H163" s="1" t="n"/>
      <c r="I163" s="1" t="n"/>
      <c r="J163" s="1" t="n"/>
      <c r="K163" s="1" t="n"/>
      <c r="L163" s="1" t="n"/>
      <c r="M163" s="1" t="n"/>
      <c r="N163" s="1" t="n"/>
    </row>
    <row r="164" ht="43.5" customHeight="1" s="350">
      <c r="E164" s="1" t="n"/>
      <c r="F164" s="1" t="n"/>
      <c r="G164" s="1" t="n"/>
      <c r="H164" s="1" t="n"/>
      <c r="I164" s="1" t="n"/>
      <c r="J164" s="1" t="n"/>
      <c r="K164" s="1" t="n"/>
      <c r="L164" s="1" t="n"/>
      <c r="M164" s="1" t="n"/>
      <c r="N164" s="1" t="n"/>
    </row>
    <row r="165" ht="43.5" customHeight="1" s="350">
      <c r="E165" s="1" t="n"/>
      <c r="F165" s="1" t="n"/>
      <c r="G165" s="1" t="n"/>
      <c r="H165" s="1" t="n"/>
      <c r="I165" s="1" t="n"/>
      <c r="J165" s="1" t="n"/>
      <c r="K165" s="1" t="n"/>
      <c r="L165" s="1" t="n"/>
      <c r="M165" s="1" t="n"/>
      <c r="N165" s="1" t="n"/>
    </row>
    <row r="166" ht="43.5" customHeight="1" s="350">
      <c r="E166" s="1" t="n"/>
      <c r="F166" s="1" t="n"/>
      <c r="G166" s="1" t="n"/>
      <c r="H166" s="1" t="n"/>
      <c r="I166" s="1" t="n"/>
      <c r="J166" s="1" t="n"/>
      <c r="K166" s="1" t="n"/>
      <c r="L166" s="1" t="n"/>
      <c r="M166" s="1" t="n"/>
      <c r="N166" s="1" t="n"/>
    </row>
    <row r="167" ht="43.5" customHeight="1" s="350">
      <c r="E167" s="1" t="n"/>
      <c r="F167" s="1" t="n"/>
      <c r="G167" s="1" t="n"/>
      <c r="H167" s="1" t="n"/>
      <c r="I167" s="1" t="n"/>
      <c r="J167" s="1" t="n"/>
      <c r="K167" s="1" t="n"/>
      <c r="L167" s="1" t="n"/>
      <c r="M167" s="1" t="n"/>
      <c r="N167" s="1" t="n"/>
    </row>
    <row r="168" ht="43.5" customHeight="1" s="350">
      <c r="E168" s="1" t="n"/>
      <c r="F168" s="1" t="n"/>
      <c r="G168" s="1" t="n"/>
      <c r="H168" s="1" t="n"/>
      <c r="I168" s="1" t="n"/>
      <c r="J168" s="1" t="n"/>
      <c r="K168" s="1" t="n"/>
      <c r="L168" s="1" t="n"/>
      <c r="M168" s="1" t="n"/>
      <c r="N168" s="1" t="n"/>
    </row>
    <row r="169" ht="43.5" customHeight="1" s="350">
      <c r="E169" s="1" t="n"/>
      <c r="F169" s="1" t="n"/>
      <c r="G169" s="1" t="n"/>
      <c r="H169" s="1" t="n"/>
      <c r="I169" s="1" t="n"/>
      <c r="J169" s="1" t="n"/>
      <c r="K169" s="1" t="n"/>
      <c r="L169" s="1" t="n"/>
      <c r="M169" s="1" t="n"/>
      <c r="N169" s="1" t="n"/>
    </row>
    <row r="170" ht="43.5" customHeight="1" s="350">
      <c r="E170" s="1" t="n"/>
      <c r="F170" s="1" t="n"/>
      <c r="G170" s="1" t="n"/>
      <c r="H170" s="1" t="n"/>
      <c r="I170" s="1" t="n"/>
      <c r="J170" s="1" t="n"/>
      <c r="K170" s="1" t="n"/>
      <c r="L170" s="1" t="n"/>
      <c r="M170" s="1" t="n"/>
      <c r="N170" s="1" t="n"/>
    </row>
    <row r="171" ht="43.5" customHeight="1" s="350">
      <c r="E171" s="1" t="n"/>
      <c r="F171" s="1" t="n"/>
      <c r="G171" s="1" t="n"/>
      <c r="H171" s="1" t="n"/>
      <c r="I171" s="1" t="n"/>
      <c r="J171" s="1" t="n"/>
      <c r="K171" s="1" t="n"/>
      <c r="L171" s="1" t="n"/>
      <c r="M171" s="1" t="n"/>
      <c r="N171" s="1" t="n"/>
    </row>
    <row r="172" ht="43.5" customHeight="1" s="350">
      <c r="E172" s="1" t="n"/>
      <c r="F172" s="1" t="n"/>
      <c r="G172" s="1" t="n"/>
      <c r="H172" s="1" t="n"/>
      <c r="I172" s="1" t="n"/>
      <c r="J172" s="1" t="n"/>
      <c r="K172" s="1" t="n"/>
      <c r="L172" s="1" t="n"/>
      <c r="M172" s="1" t="n"/>
      <c r="N172" s="1" t="n"/>
    </row>
    <row r="173" ht="43.5" customHeight="1" s="350">
      <c r="E173" s="1" t="n"/>
      <c r="F173" s="1" t="n"/>
      <c r="G173" s="1" t="n"/>
      <c r="H173" s="1" t="n"/>
      <c r="I173" s="1" t="n"/>
      <c r="J173" s="1" t="n"/>
      <c r="K173" s="1" t="n"/>
      <c r="L173" s="1" t="n"/>
      <c r="M173" s="1" t="n"/>
      <c r="N173" s="1" t="n"/>
    </row>
    <row r="174" ht="43.5" customHeight="1" s="350">
      <c r="E174" s="1" t="n"/>
      <c r="F174" s="1" t="n"/>
      <c r="G174" s="1" t="n"/>
      <c r="H174" s="1" t="n"/>
      <c r="I174" s="1" t="n"/>
      <c r="J174" s="1" t="n"/>
      <c r="K174" s="1" t="n"/>
      <c r="L174" s="1" t="n"/>
      <c r="M174" s="1" t="n"/>
      <c r="N174" s="1" t="n"/>
    </row>
    <row r="175" ht="43.5" customHeight="1" s="350">
      <c r="E175" s="1" t="n"/>
      <c r="F175" s="1" t="n"/>
      <c r="G175" s="1" t="n"/>
      <c r="H175" s="1" t="n"/>
      <c r="I175" s="1" t="n"/>
      <c r="J175" s="1" t="n"/>
      <c r="K175" s="1" t="n"/>
      <c r="L175" s="1" t="n"/>
      <c r="M175" s="1" t="n"/>
      <c r="N175" s="1" t="n"/>
    </row>
    <row r="176" ht="43.5" customHeight="1" s="350">
      <c r="E176" s="1" t="n"/>
      <c r="F176" s="1" t="n"/>
      <c r="G176" s="1" t="n"/>
      <c r="H176" s="1" t="n"/>
      <c r="I176" s="1" t="n"/>
      <c r="J176" s="1" t="n"/>
      <c r="K176" s="1" t="n"/>
      <c r="L176" s="1" t="n"/>
      <c r="M176" s="1" t="n"/>
      <c r="N176" s="1" t="n"/>
    </row>
    <row r="177" ht="43.5" customHeight="1" s="350">
      <c r="E177" s="1" t="n"/>
      <c r="F177" s="1" t="n"/>
      <c r="G177" s="1" t="n"/>
      <c r="H177" s="1" t="n"/>
      <c r="I177" s="1" t="n"/>
      <c r="J177" s="1" t="n"/>
      <c r="K177" s="1" t="n"/>
      <c r="L177" s="1" t="n"/>
      <c r="M177" s="1" t="n"/>
      <c r="N177" s="1" t="n"/>
    </row>
    <row r="178" ht="43.5" customHeight="1" s="350">
      <c r="E178" s="1" t="n"/>
      <c r="F178" s="1" t="n"/>
      <c r="G178" s="1" t="n"/>
      <c r="H178" s="1" t="n"/>
      <c r="I178" s="1" t="n"/>
      <c r="J178" s="1" t="n"/>
      <c r="K178" s="1" t="n"/>
      <c r="L178" s="1" t="n"/>
      <c r="M178" s="1" t="n"/>
      <c r="N178" s="1" t="n"/>
    </row>
    <row r="179" ht="43.5" customHeight="1" s="350">
      <c r="E179" s="1" t="n"/>
      <c r="F179" s="1" t="n"/>
      <c r="G179" s="1" t="n"/>
      <c r="H179" s="1" t="n"/>
      <c r="I179" s="1" t="n"/>
      <c r="J179" s="1" t="n"/>
      <c r="K179" s="1" t="n"/>
      <c r="L179" s="1" t="n"/>
      <c r="M179" s="1" t="n"/>
      <c r="N179" s="1" t="n"/>
    </row>
    <row r="180" ht="43.5" customHeight="1" s="350">
      <c r="E180" s="1" t="n"/>
      <c r="F180" s="1" t="n"/>
      <c r="G180" s="1" t="n"/>
      <c r="H180" s="1" t="n"/>
      <c r="I180" s="1" t="n"/>
      <c r="J180" s="1" t="n"/>
      <c r="K180" s="1" t="n"/>
      <c r="L180" s="1" t="n"/>
      <c r="M180" s="1" t="n"/>
      <c r="N180" s="1" t="n"/>
    </row>
    <row r="181" ht="43.5" customHeight="1" s="350">
      <c r="E181" s="1" t="n"/>
      <c r="F181" s="1" t="n"/>
      <c r="G181" s="1" t="n"/>
      <c r="H181" s="1" t="n"/>
      <c r="I181" s="1" t="n"/>
      <c r="J181" s="1" t="n"/>
      <c r="K181" s="1" t="n"/>
      <c r="L181" s="1" t="n"/>
      <c r="M181" s="1" t="n"/>
      <c r="N181" s="1" t="n"/>
    </row>
    <row r="182" ht="43.5" customHeight="1" s="350">
      <c r="E182" s="1" t="n"/>
      <c r="F182" s="1" t="n"/>
      <c r="G182" s="1" t="n"/>
      <c r="H182" s="1" t="n"/>
      <c r="I182" s="1" t="n"/>
      <c r="J182" s="1" t="n"/>
      <c r="K182" s="1" t="n"/>
      <c r="L182" s="1" t="n"/>
      <c r="M182" s="1" t="n"/>
      <c r="N182" s="1" t="n"/>
    </row>
    <row r="183" ht="43.5" customHeight="1" s="350">
      <c r="E183" s="1" t="n"/>
      <c r="F183" s="1" t="n"/>
      <c r="G183" s="1" t="n"/>
      <c r="H183" s="1" t="n"/>
      <c r="I183" s="1" t="n"/>
      <c r="J183" s="1" t="n"/>
      <c r="K183" s="1" t="n"/>
      <c r="L183" s="1" t="n"/>
      <c r="M183" s="1" t="n"/>
      <c r="N183" s="1" t="n"/>
    </row>
    <row r="184" ht="43.5" customHeight="1" s="350">
      <c r="E184" s="1" t="n"/>
      <c r="F184" s="1" t="n"/>
      <c r="G184" s="1" t="n"/>
      <c r="H184" s="1" t="n"/>
      <c r="I184" s="1" t="n"/>
      <c r="J184" s="1" t="n"/>
      <c r="K184" s="1" t="n"/>
      <c r="L184" s="1" t="n"/>
      <c r="M184" s="1" t="n"/>
      <c r="N184" s="1" t="n"/>
    </row>
    <row r="185" ht="43.5" customHeight="1" s="350">
      <c r="E185" s="1" t="n"/>
      <c r="F185" s="1" t="n"/>
      <c r="G185" s="1" t="n"/>
      <c r="H185" s="1" t="n"/>
      <c r="I185" s="1" t="n"/>
      <c r="J185" s="1" t="n"/>
      <c r="K185" s="1" t="n"/>
      <c r="L185" s="1" t="n"/>
      <c r="M185" s="1" t="n"/>
      <c r="N185" s="1" t="n"/>
    </row>
  </sheetData>
  <autoFilter ref="A1:AL72">
    <filterColumn colId="2" hiddenButton="0" showButton="1">
      <filters>
        <filter val="Manager 1"/>
        <filter val="Manager 2"/>
        <filter val="Manager 3"/>
        <filter val="Senior 1"/>
        <filter val="Senior 2"/>
        <filter val="Senior 3"/>
        <filter val="Senior Manager 1"/>
        <filter val="Senior Manager 3"/>
        <filter val="Staff/Assistant 1"/>
        <filter val="Staff/Assistant 2"/>
      </filters>
    </filterColumn>
  </autoFilter>
  <conditionalFormatting sqref="E2:N72">
    <cfRule type="cellIs" priority="1" operator="lessThan" dxfId="3">
      <formula>0.29</formula>
    </cfRule>
    <cfRule type="cellIs" priority="2" operator="between" dxfId="2">
      <formula>0.3</formula>
      <formula>0.8999</formula>
    </cfRule>
    <cfRule type="cellIs" priority="3" operator="between" dxfId="1" stopIfTrue="1">
      <formula>0.7</formula>
      <formula>0.8</formula>
    </cfRule>
    <cfRule type="cellIs" priority="4" operator="greaterThanOrEqual" dxfId="0">
      <formula>0.9</formula>
    </cfRule>
  </conditionalFormatting>
  <pageMargins left="0.7" right="0.7" top="0.75" bottom="0.75" header="0.3" footer="0.3"/>
  <pageSetup orientation="portrait"/>
  <legacyDrawing xmlns:r="http://schemas.openxmlformats.org/officeDocument/2006/relationships" r:id="anysvml"/>
</worksheet>
</file>

<file path=xl/worksheets/sheet7.xml><?xml version="1.0" encoding="utf-8"?>
<worksheet xmlns="http://schemas.openxmlformats.org/spreadsheetml/2006/main">
  <sheetPr>
    <tabColor rgb="FF92D050"/>
    <outlinePr summaryBelow="1" summaryRight="1"/>
    <pageSetUpPr/>
  </sheetPr>
  <dimension ref="A1:N137"/>
  <sheetViews>
    <sheetView showGridLines="0" tabSelected="1" topLeftCell="B1" zoomScale="85" zoomScaleNormal="85" workbookViewId="0">
      <pane ySplit="1" topLeftCell="A2" activePane="bottomLeft" state="frozen"/>
      <selection pane="bottomLeft" activeCell="G5" sqref="G5"/>
    </sheetView>
  </sheetViews>
  <sheetFormatPr baseColWidth="8" defaultRowHeight="14.5"/>
  <cols>
    <col width="19.7265625" customWidth="1" style="350" min="1" max="1"/>
    <col width="19.453125" bestFit="1" customWidth="1" style="350" min="2" max="2"/>
    <col width="23.1796875" bestFit="1" customWidth="1" style="350" min="3" max="3"/>
    <col width="18.1796875" bestFit="1" customWidth="1" style="31" min="4" max="4"/>
    <col width="18" customWidth="1" style="31" min="5" max="6"/>
    <col width="18" customWidth="1" style="71" min="7" max="8"/>
    <col width="72.1796875" customWidth="1" style="350" min="9" max="9"/>
    <col width="21.54296875" bestFit="1" customWidth="1" style="350" min="11" max="11"/>
    <col width="33.453125" bestFit="1" customWidth="1" style="350" min="12" max="12"/>
    <col width="4.453125" bestFit="1" customWidth="1" style="350" min="13" max="13"/>
    <col width="5.453125" bestFit="1" customWidth="1" style="350" min="14" max="14"/>
  </cols>
  <sheetData>
    <row r="1" ht="15" customHeight="1" s="350" thickBot="1">
      <c r="A1" s="99" t="inlineStr">
        <is>
          <t>Project</t>
        </is>
      </c>
      <c r="B1" s="100" t="inlineStr">
        <is>
          <t>Engagement Manager</t>
        </is>
      </c>
      <c r="C1" s="100" t="inlineStr">
        <is>
          <t>Resource</t>
        </is>
      </c>
      <c r="D1" s="100" t="inlineStr">
        <is>
          <t>Current Grade</t>
        </is>
      </c>
      <c r="E1" s="100" t="inlineStr">
        <is>
          <t>Start Date</t>
        </is>
      </c>
      <c r="F1" s="100" t="inlineStr">
        <is>
          <t>End Date</t>
        </is>
      </c>
      <c r="G1" s="140" t="inlineStr">
        <is>
          <t>Utilization %</t>
        </is>
      </c>
      <c r="H1" s="140" t="inlineStr">
        <is>
          <t>Actual Utilization</t>
        </is>
      </c>
      <c r="I1" s="101" t="inlineStr">
        <is>
          <t>Remarks</t>
        </is>
      </c>
    </row>
    <row r="2">
      <c r="A2" s="393" t="inlineStr">
        <is>
          <t>Client A, Platform A1</t>
        </is>
      </c>
      <c r="B2" s="365" t="inlineStr">
        <is>
          <t>Masked Person 1</t>
        </is>
      </c>
      <c r="C2" s="269" t="inlineStr">
        <is>
          <t>Masked Person 1</t>
        </is>
      </c>
      <c r="D2" s="214">
        <f>VLOOKUP(C2,Master!A:C,3,0)</f>
        <v/>
      </c>
      <c r="E2" s="119" t="n"/>
      <c r="F2" s="118" t="n">
        <v>46446</v>
      </c>
      <c r="G2" s="273" t="n">
        <v>0.6</v>
      </c>
      <c r="H2" s="119">
        <f>VLOOKUP(C2,'[2]AI &amp; Data'!$B:$H,7,0)</f>
        <v/>
      </c>
      <c r="I2" s="252" t="n"/>
    </row>
    <row r="3">
      <c r="A3" s="394" t="n"/>
      <c r="B3" s="50" t="n"/>
      <c r="C3" s="270" t="inlineStr">
        <is>
          <t>Masked Person 7</t>
        </is>
      </c>
      <c r="D3" s="229">
        <f>VLOOKUP(C3,Master!A:C,3,0)</f>
        <v/>
      </c>
      <c r="E3" s="229" t="n"/>
      <c r="F3" s="230" t="n">
        <v>46276</v>
      </c>
      <c r="G3" s="231" t="n">
        <v>0.3</v>
      </c>
      <c r="H3" s="254">
        <f>VLOOKUP(C3,'[2]AI &amp; Data'!$B:$H,7,0)</f>
        <v/>
      </c>
      <c r="I3" s="156" t="inlineStr">
        <is>
          <t>Reserved for Client AK. Masked Person 42 recommended to reserve for Client R</t>
        </is>
      </c>
      <c r="N3" s="30" t="n"/>
    </row>
    <row r="4">
      <c r="A4" s="394" t="n"/>
      <c r="B4" s="50" t="n"/>
      <c r="C4" s="86" t="inlineStr">
        <is>
          <t>Masked Person 8</t>
        </is>
      </c>
      <c r="D4" s="107">
        <f>VLOOKUP(C4,Master!A:C,3,0)</f>
        <v/>
      </c>
      <c r="E4" s="107" t="n"/>
      <c r="F4" s="129" t="n">
        <v>46507</v>
      </c>
      <c r="G4" s="130" t="n">
        <v>1</v>
      </c>
      <c r="H4" s="255">
        <f>VLOOKUP(C4,'[2]AI &amp; Data'!$B:$H,7,0)</f>
        <v/>
      </c>
      <c r="I4" s="47" t="n"/>
      <c r="N4" s="30" t="n"/>
    </row>
    <row r="5">
      <c r="A5" s="394" t="n"/>
      <c r="B5" s="50" t="n"/>
      <c r="C5" s="86" t="inlineStr">
        <is>
          <t>Masked Person 49</t>
        </is>
      </c>
      <c r="D5" s="107">
        <f>VLOOKUP(C5,Master!A:C,3,0)</f>
        <v/>
      </c>
      <c r="E5" s="107" t="n"/>
      <c r="F5" s="129" t="n">
        <v>46507</v>
      </c>
      <c r="G5" s="130" t="n">
        <v>1</v>
      </c>
      <c r="H5" s="255" t="n">
        <v>1</v>
      </c>
      <c r="I5" s="47" t="n"/>
    </row>
    <row r="6">
      <c r="A6" s="394" t="n"/>
      <c r="B6" s="50" t="n"/>
      <c r="C6" s="86" t="inlineStr">
        <is>
          <t>Masked Person 59</t>
        </is>
      </c>
      <c r="D6" s="107">
        <f>VLOOKUP(C6,Master!A:C,3,0)</f>
        <v/>
      </c>
      <c r="E6" s="107" t="n"/>
      <c r="F6" s="129" t="n">
        <v>46325</v>
      </c>
      <c r="G6" s="130" t="n">
        <v>1</v>
      </c>
      <c r="H6" s="255">
        <f>VLOOKUP(C6,'[2]AI &amp; Data'!$B:$H,7,0)</f>
        <v/>
      </c>
      <c r="I6" s="47" t="n"/>
    </row>
    <row r="7">
      <c r="A7" s="394" t="n"/>
      <c r="B7" s="50" t="n"/>
      <c r="C7" s="86" t="inlineStr">
        <is>
          <t>Masked Person 67</t>
        </is>
      </c>
      <c r="D7" s="107">
        <f>VLOOKUP(C7,Master!A:C,3,0)</f>
        <v/>
      </c>
      <c r="E7" s="107" t="n"/>
      <c r="F7" s="129" t="n">
        <v>46507</v>
      </c>
      <c r="G7" s="130" t="n">
        <v>1</v>
      </c>
      <c r="H7" s="255">
        <f>VLOOKUP(C7,'[2]AI &amp; Data'!$B:$H,7,0)</f>
        <v/>
      </c>
      <c r="I7" s="47" t="inlineStr">
        <is>
          <t>Internship ending date is 9 April 2027</t>
        </is>
      </c>
    </row>
    <row r="8">
      <c r="A8" s="394" t="n"/>
      <c r="B8" s="50" t="n"/>
      <c r="C8" s="86" t="inlineStr">
        <is>
          <t>Masked Person 79</t>
        </is>
      </c>
      <c r="D8" s="107">
        <f>VLOOKUP(C8,Master!A:C,3,0)</f>
        <v/>
      </c>
      <c r="E8" s="107" t="n"/>
      <c r="F8" s="129" t="n">
        <v>46568</v>
      </c>
      <c r="G8" s="130" t="n">
        <v>1</v>
      </c>
      <c r="H8" s="255">
        <f>VLOOKUP(C8,'[2]AI &amp; Data'!$B:$H,7,0)</f>
        <v/>
      </c>
      <c r="I8" s="47" t="n"/>
    </row>
    <row r="9">
      <c r="A9" s="394" t="n"/>
      <c r="B9" s="50" t="n"/>
      <c r="C9" s="86" t="inlineStr">
        <is>
          <t>Masked Person 87</t>
        </is>
      </c>
      <c r="D9" s="107">
        <f>VLOOKUP(C9,Master!A:C,3,0)</f>
        <v/>
      </c>
      <c r="E9" s="107" t="n"/>
      <c r="F9" s="129" t="n">
        <v>46568</v>
      </c>
      <c r="G9" s="130" t="n">
        <v>1</v>
      </c>
      <c r="H9" s="255" t="n">
        <v>1</v>
      </c>
      <c r="I9" s="47" t="n"/>
    </row>
    <row r="10">
      <c r="A10" s="394" t="n"/>
      <c r="B10" s="50" t="n"/>
      <c r="C10" s="86" t="inlineStr">
        <is>
          <t>Masked Person 89</t>
        </is>
      </c>
      <c r="D10" s="107">
        <f>VLOOKUP(C10,Master!A:C,3,0)</f>
        <v/>
      </c>
      <c r="E10" s="107" t="n"/>
      <c r="F10" s="129" t="n">
        <v>46568</v>
      </c>
      <c r="G10" s="130" t="n">
        <v>1</v>
      </c>
      <c r="H10" s="255">
        <f>VLOOKUP(C10,'[2]AI &amp; Data'!$B:$H,7,0)</f>
        <v/>
      </c>
      <c r="I10" s="47" t="n"/>
    </row>
    <row r="11">
      <c r="A11" s="394" t="n"/>
      <c r="B11" s="50" t="n"/>
      <c r="C11" s="86" t="inlineStr">
        <is>
          <t>Masked Person 93</t>
        </is>
      </c>
      <c r="D11" s="107">
        <f>VLOOKUP(C11,Master!A:C,3,0)</f>
        <v/>
      </c>
      <c r="E11" s="107" t="n"/>
      <c r="F11" s="129" t="n">
        <v>46360</v>
      </c>
      <c r="G11" s="130" t="n">
        <v>1</v>
      </c>
      <c r="H11" s="255">
        <f>VLOOKUP(C11,'[2]AI &amp; Data'!$B:$H,7,0)</f>
        <v/>
      </c>
      <c r="I11" s="47" t="inlineStr">
        <is>
          <t>Internship ending date is 4 December 2026</t>
        </is>
      </c>
    </row>
    <row r="12">
      <c r="A12" s="394" t="n"/>
      <c r="B12" s="50" t="n"/>
      <c r="C12" s="271" t="inlineStr">
        <is>
          <t>Masked Person 55</t>
        </is>
      </c>
      <c r="D12" s="218">
        <f>VLOOKUP(C12,Master!A:C,3,0)</f>
        <v/>
      </c>
      <c r="E12" s="223" t="n">
        <v>46258</v>
      </c>
      <c r="F12" s="190" t="n">
        <v>46446</v>
      </c>
      <c r="G12" s="224" t="n">
        <v>0.2</v>
      </c>
      <c r="H12" s="256" t="n">
        <v>0.2</v>
      </c>
      <c r="I12" s="85" t="n"/>
    </row>
    <row r="13">
      <c r="A13" s="394" t="n"/>
      <c r="B13" s="50" t="n"/>
      <c r="C13" s="87" t="inlineStr">
        <is>
          <t>Masked Person 96</t>
        </is>
      </c>
      <c r="D13" s="117">
        <f>VLOOKUP(C13,Master!A:C,3,0)</f>
        <v/>
      </c>
      <c r="E13" s="117" t="n"/>
      <c r="F13" s="253" t="n">
        <v>46568</v>
      </c>
      <c r="G13" s="141" t="n">
        <v>1</v>
      </c>
      <c r="H13" s="261">
        <f>VLOOKUP(C13,'[2]AI &amp; Data'!$B:$H,7,0)</f>
        <v/>
      </c>
      <c r="I13" s="85" t="n"/>
    </row>
    <row r="14" ht="15" customHeight="1" s="350" thickBot="1">
      <c r="A14" s="395" t="n"/>
      <c r="B14" s="132" t="n"/>
      <c r="C14" s="272" t="n"/>
      <c r="D14" s="120" t="n"/>
      <c r="E14" s="120" t="n"/>
      <c r="F14" s="121" t="n"/>
      <c r="G14" s="142" t="n"/>
      <c r="H14" s="257" t="n"/>
      <c r="I14" s="49" t="n"/>
    </row>
    <row r="15" ht="15" customHeight="1" s="350" thickBot="1">
      <c r="A15" s="81" t="n"/>
      <c r="B15" s="81" t="n"/>
      <c r="F15" s="199" t="n"/>
      <c r="H15" s="258" t="n"/>
      <c r="I15" s="104" t="n"/>
    </row>
    <row r="16" ht="15" customHeight="1" s="350" thickBot="1">
      <c r="A16" s="344" t="inlineStr">
        <is>
          <t>Client A, Platform A1 Phase 2&amp;3</t>
        </is>
      </c>
      <c r="B16" s="346" t="inlineStr">
        <is>
          <t>Masked Person 13</t>
        </is>
      </c>
      <c r="C16" s="45" t="inlineStr">
        <is>
          <t>Masked Person 13</t>
        </is>
      </c>
      <c r="D16" s="239">
        <f>VLOOKUP(C16,Master!A:C,3,0)</f>
        <v/>
      </c>
      <c r="E16" s="240" t="n"/>
      <c r="F16" s="118" t="n">
        <v>46417</v>
      </c>
      <c r="G16" s="119" t="n">
        <v>0.2</v>
      </c>
      <c r="H16" s="134" t="n">
        <v>0.2</v>
      </c>
      <c r="I16" s="277" t="inlineStr">
        <is>
          <t xml:space="preserve">Client E : till 26 Oct : 20% , Client A : till 30 Jan : 20% </t>
        </is>
      </c>
    </row>
    <row r="17" ht="15" customHeight="1" s="350" thickBot="1">
      <c r="A17" s="396" t="n"/>
      <c r="B17" s="50" t="n"/>
      <c r="C17" s="44" t="inlineStr">
        <is>
          <t>Masked Person 3</t>
        </is>
      </c>
      <c r="D17" s="107">
        <f>VLOOKUP(C17,Master!A:C,3,0)</f>
        <v/>
      </c>
      <c r="E17" s="107" t="n"/>
      <c r="F17" s="129" t="n">
        <v>46446</v>
      </c>
      <c r="G17" s="255" t="n">
        <v>1</v>
      </c>
      <c r="H17" s="130">
        <f>VLOOKUP(C17,'[2]AI &amp; Data'!$B:$H,7,0)</f>
        <v/>
      </c>
      <c r="I17" s="274" t="n"/>
    </row>
    <row r="18" ht="15" customHeight="1" s="350" thickBot="1">
      <c r="A18" s="396" t="n"/>
      <c r="B18" s="50" t="n"/>
      <c r="C18" s="44" t="inlineStr">
        <is>
          <t>Masked Person 9</t>
        </is>
      </c>
      <c r="D18" s="107">
        <f>VLOOKUP(C18,Master!A:C,3,0)</f>
        <v/>
      </c>
      <c r="E18" s="107" t="n"/>
      <c r="F18" s="129" t="n">
        <v>46325</v>
      </c>
      <c r="G18" s="255" t="n">
        <v>1</v>
      </c>
      <c r="H18" s="130">
        <f>VLOOKUP(C18,'[2]AI &amp; Data'!$B:$H,7,0)</f>
        <v/>
      </c>
      <c r="I18" s="274" t="n"/>
      <c r="N18" s="30" t="n"/>
    </row>
    <row r="19" ht="15" customHeight="1" s="350" thickBot="1">
      <c r="A19" s="396" t="n"/>
      <c r="B19" s="50" t="n"/>
      <c r="C19" s="159" t="inlineStr">
        <is>
          <t>Masked Person 27</t>
        </is>
      </c>
      <c r="D19" s="372">
        <f>VLOOKUP(C19,Master!A:C,3,0)</f>
        <v/>
      </c>
      <c r="E19" s="372" t="n"/>
      <c r="F19" s="191" t="n">
        <v>46568</v>
      </c>
      <c r="G19" s="259" t="n">
        <v>0.6</v>
      </c>
      <c r="H19" s="130" t="n">
        <v>0.6</v>
      </c>
      <c r="I19" s="177" t="inlineStr">
        <is>
          <t>Client A: 60% till Feb 2027 then 30% till Jun 2027</t>
        </is>
      </c>
    </row>
    <row r="20" ht="15" customHeight="1" s="350" thickBot="1">
      <c r="A20" s="396" t="n"/>
      <c r="B20" s="50" t="n"/>
      <c r="C20" s="44" t="inlineStr">
        <is>
          <t>Masked Person 28</t>
        </is>
      </c>
      <c r="D20" s="107">
        <f>VLOOKUP(C20,Master!A:C,3,0)</f>
        <v/>
      </c>
      <c r="E20" s="107" t="n"/>
      <c r="F20" s="129" t="n">
        <v>46568</v>
      </c>
      <c r="G20" s="255" t="n">
        <v>1</v>
      </c>
      <c r="H20" s="130">
        <f>VLOOKUP(C20,'[2]AI &amp; Data'!$B:$H,7,0)</f>
        <v/>
      </c>
      <c r="I20" s="274" t="n"/>
    </row>
    <row r="21" ht="15" customHeight="1" s="350" thickBot="1">
      <c r="A21" s="396" t="n"/>
      <c r="B21" s="50" t="n"/>
      <c r="C21" s="44" t="inlineStr">
        <is>
          <t>Masked Person 70</t>
        </is>
      </c>
      <c r="D21" s="107">
        <f>VLOOKUP(C21,Master!A:C,3,0)</f>
        <v/>
      </c>
      <c r="E21" s="107" t="n"/>
      <c r="F21" s="129" t="n">
        <v>46568</v>
      </c>
      <c r="G21" s="255" t="n">
        <v>1</v>
      </c>
      <c r="H21" s="130">
        <f>VLOOKUP(C21,'[2]AI &amp; Data'!$B:$H,7,0)</f>
        <v/>
      </c>
      <c r="I21" s="274" t="n"/>
    </row>
    <row r="22" ht="15" customHeight="1" s="350" thickBot="1">
      <c r="A22" s="396" t="n"/>
      <c r="B22" s="50" t="n"/>
      <c r="C22" s="44" t="inlineStr">
        <is>
          <t>Masked Person 76</t>
        </is>
      </c>
      <c r="D22" s="107">
        <f>VLOOKUP(C22,Master!A:C,3,0)</f>
        <v/>
      </c>
      <c r="E22" s="107" t="n"/>
      <c r="F22" s="129" t="n">
        <v>46568</v>
      </c>
      <c r="G22" s="255" t="n">
        <v>1</v>
      </c>
      <c r="H22" s="130">
        <f>VLOOKUP(C22,'[2]AI &amp; Data'!$B:$H,7,0)</f>
        <v/>
      </c>
      <c r="I22" s="274" t="n"/>
    </row>
    <row r="23" ht="15" customHeight="1" s="350" thickBot="1">
      <c r="A23" s="396" t="n"/>
      <c r="B23" s="50" t="n"/>
      <c r="C23" s="44" t="inlineStr">
        <is>
          <t>Masked Person 80</t>
        </is>
      </c>
      <c r="D23" s="107">
        <f>VLOOKUP(C23,Master!A:C,3,0)</f>
        <v/>
      </c>
      <c r="E23" s="107" t="n"/>
      <c r="F23" s="129" t="n">
        <v>46446</v>
      </c>
      <c r="G23" s="255" t="n">
        <v>1</v>
      </c>
      <c r="H23" s="130">
        <f>VLOOKUP(C23,'[2]AI &amp; Data'!$B:$H,7,0)</f>
        <v/>
      </c>
      <c r="I23" s="274" t="n"/>
    </row>
    <row r="24" ht="15" customHeight="1" s="350" thickBot="1">
      <c r="A24" s="396" t="n"/>
      <c r="B24" s="50" t="n"/>
      <c r="C24" s="360" t="inlineStr">
        <is>
          <t>Masked Person 18</t>
        </is>
      </c>
      <c r="D24" s="349">
        <f>VLOOKUP(C24,Master!A:C,3,0)</f>
        <v/>
      </c>
      <c r="E24" s="349" t="n"/>
      <c r="F24" s="161" t="n">
        <v>46273</v>
      </c>
      <c r="G24" s="260" t="n">
        <v>0.5</v>
      </c>
      <c r="H24" s="162" t="n">
        <v>0.5</v>
      </c>
      <c r="I24" s="275" t="n"/>
    </row>
    <row r="25" ht="15" customHeight="1" s="350" thickBot="1">
      <c r="A25" s="396" t="n"/>
      <c r="B25" s="50" t="n"/>
      <c r="C25" s="44" t="inlineStr">
        <is>
          <t>Masked Person 78</t>
        </is>
      </c>
      <c r="D25" s="107">
        <f>VLOOKUP(C25,Master!A:C,3,0)</f>
        <v/>
      </c>
      <c r="E25" s="107" t="n"/>
      <c r="F25" s="129" t="n">
        <v>46325</v>
      </c>
      <c r="G25" s="255" t="n">
        <v>1</v>
      </c>
      <c r="H25" s="130">
        <f>VLOOKUP(C25,'[2]AI &amp; Data'!$B:$H,7,0)</f>
        <v/>
      </c>
      <c r="I25" s="276" t="n"/>
    </row>
    <row r="26" ht="15" customHeight="1" s="350" thickBot="1">
      <c r="A26" s="397" t="n"/>
      <c r="B26" s="132" t="n"/>
      <c r="C26" s="48" t="n"/>
      <c r="D26" s="120" t="n"/>
      <c r="E26" s="120" t="n"/>
      <c r="F26" s="120" t="n"/>
      <c r="G26" s="142" t="n"/>
      <c r="H26" s="235" t="n"/>
      <c r="I26" s="49" t="n"/>
    </row>
    <row r="27" ht="15" customHeight="1" s="350" thickBot="1">
      <c r="A27" s="81" t="n"/>
      <c r="B27" s="81" t="n"/>
      <c r="F27" s="199" t="n"/>
      <c r="H27" s="258" t="n"/>
      <c r="I27" s="104" t="n"/>
    </row>
    <row r="28">
      <c r="A28" s="393" t="inlineStr">
        <is>
          <t>Client B</t>
        </is>
      </c>
      <c r="B28" s="358" t="inlineStr">
        <is>
          <t>Masked Person 11</t>
        </is>
      </c>
      <c r="C28" s="285" t="inlineStr">
        <is>
          <t>Masked Person 11</t>
        </is>
      </c>
      <c r="D28" s="116">
        <f>VLOOKUP(C28,Master!A:C,3,0)</f>
        <v/>
      </c>
      <c r="E28" s="280" t="n">
        <v>45566</v>
      </c>
      <c r="F28" s="281" t="n"/>
      <c r="G28" s="282" t="n">
        <v>0.25</v>
      </c>
      <c r="H28" s="262">
        <f>VLOOKUP(C28,'[2]AI &amp; Data'!$B:$H,7,0)</f>
        <v/>
      </c>
      <c r="I28" s="144" t="n"/>
    </row>
    <row r="29">
      <c r="A29" s="394" t="n"/>
      <c r="B29" s="50" t="n"/>
      <c r="C29" s="270" t="inlineStr">
        <is>
          <t>Masked Person 7</t>
        </is>
      </c>
      <c r="D29" s="229">
        <f>VLOOKUP(C29,Master!A:C,3,0)</f>
        <v/>
      </c>
      <c r="E29" s="229" t="n"/>
      <c r="F29" s="129" t="n">
        <v>46356</v>
      </c>
      <c r="G29" s="263" t="n">
        <v>0.5</v>
      </c>
      <c r="H29" s="130">
        <f>VLOOKUP(C29,'[2]AI &amp; Data'!$B:$H,7,0)</f>
        <v/>
      </c>
      <c r="I29" s="283" t="n"/>
    </row>
    <row r="30">
      <c r="A30" s="394" t="n"/>
      <c r="B30" s="50" t="n"/>
      <c r="C30" s="86" t="inlineStr">
        <is>
          <t>Masked Person 10</t>
        </is>
      </c>
      <c r="D30" s="107">
        <f>VLOOKUP(C30,Master!A:C,3,0)</f>
        <v/>
      </c>
      <c r="E30" s="107" t="n"/>
      <c r="F30" s="129" t="n">
        <v>46606</v>
      </c>
      <c r="G30" s="255" t="n">
        <v>1</v>
      </c>
      <c r="H30" s="130" t="n">
        <v>1</v>
      </c>
      <c r="I30" s="274" t="n"/>
    </row>
    <row r="31">
      <c r="A31" s="394" t="n"/>
      <c r="B31" s="50" t="n"/>
      <c r="C31" s="86" t="inlineStr">
        <is>
          <t>Masked Person 20</t>
        </is>
      </c>
      <c r="D31" s="107">
        <f>VLOOKUP(C31,Master!A:C,3,0)</f>
        <v/>
      </c>
      <c r="E31" s="107" t="n"/>
      <c r="F31" s="129" t="n">
        <v>46606</v>
      </c>
      <c r="G31" s="255" t="n">
        <v>1</v>
      </c>
      <c r="H31" s="130">
        <f>VLOOKUP(C31,'[2]AI &amp; Data'!$B:$H,7,0)</f>
        <v/>
      </c>
      <c r="I31" s="274" t="n"/>
    </row>
    <row r="32">
      <c r="A32" s="394" t="n"/>
      <c r="B32" s="50" t="n"/>
      <c r="C32" s="86" t="inlineStr">
        <is>
          <t>Masked Person 31</t>
        </is>
      </c>
      <c r="D32" s="107">
        <f>VLOOKUP(C32,Master!A:C,3,0)</f>
        <v/>
      </c>
      <c r="E32" s="107" t="n"/>
      <c r="F32" s="129" t="n">
        <v>46356</v>
      </c>
      <c r="G32" s="255" t="n">
        <v>1</v>
      </c>
      <c r="H32" s="130" t="n">
        <v>1</v>
      </c>
      <c r="I32" s="276" t="inlineStr">
        <is>
          <t>Masked Person 11: No plans to extend</t>
        </is>
      </c>
    </row>
    <row r="33">
      <c r="A33" s="394" t="n"/>
      <c r="B33" s="50" t="n"/>
      <c r="C33" s="86" t="inlineStr">
        <is>
          <t>Masked Person 33</t>
        </is>
      </c>
      <c r="D33" s="107">
        <f>VLOOKUP(C33,Master!A:C,3,0)</f>
        <v/>
      </c>
      <c r="E33" s="107" t="n"/>
      <c r="F33" s="129" t="n">
        <v>46418</v>
      </c>
      <c r="G33" s="255" t="n">
        <v>1</v>
      </c>
      <c r="H33" s="130" t="n">
        <v>1</v>
      </c>
      <c r="I33" s="274" t="n"/>
    </row>
    <row r="34">
      <c r="A34" s="394" t="n"/>
      <c r="B34" s="50" t="n"/>
      <c r="C34" s="86" t="inlineStr">
        <is>
          <t>Masked Person 46</t>
        </is>
      </c>
      <c r="D34" s="107">
        <f>VLOOKUP(C34,Master!A:C,3,0)</f>
        <v/>
      </c>
      <c r="E34" s="107" t="n"/>
      <c r="F34" s="129" t="n">
        <v>46418</v>
      </c>
      <c r="G34" s="255" t="n">
        <v>1</v>
      </c>
      <c r="H34" s="130" t="n">
        <v>1</v>
      </c>
      <c r="I34" s="274" t="n"/>
    </row>
    <row r="35">
      <c r="A35" s="394" t="n"/>
      <c r="B35" s="50" t="n"/>
      <c r="C35" s="286" t="inlineStr">
        <is>
          <t>Masked Person 53</t>
        </is>
      </c>
      <c r="D35" s="372">
        <f>VLOOKUP(C35,Master!A:C,3,0)</f>
        <v/>
      </c>
      <c r="E35" s="372" t="n"/>
      <c r="F35" s="191" t="n">
        <v>46630</v>
      </c>
      <c r="G35" s="259" t="n">
        <v>0.8</v>
      </c>
      <c r="H35" s="130" t="n">
        <v>1</v>
      </c>
      <c r="I35" s="279" t="n"/>
    </row>
    <row r="36">
      <c r="A36" s="394" t="n"/>
      <c r="B36" s="50" t="n"/>
      <c r="C36" s="86" t="inlineStr">
        <is>
          <t>Masked Person 71</t>
        </is>
      </c>
      <c r="D36" s="107">
        <f>VLOOKUP(C36,Master!A:C,3,0)</f>
        <v/>
      </c>
      <c r="E36" s="107" t="n"/>
      <c r="F36" s="129" t="n">
        <v>46606</v>
      </c>
      <c r="G36" s="255" t="n">
        <v>1</v>
      </c>
      <c r="H36" s="130" t="n">
        <v>1</v>
      </c>
      <c r="I36" s="274" t="n"/>
    </row>
    <row r="37">
      <c r="A37" s="394" t="n"/>
      <c r="B37" s="50" t="n"/>
      <c r="C37" s="86" t="inlineStr">
        <is>
          <t>Masked Person 81</t>
        </is>
      </c>
      <c r="D37" s="107">
        <f>VLOOKUP(C37,Master!A:C,3,0)</f>
        <v/>
      </c>
      <c r="E37" s="107" t="n"/>
      <c r="F37" s="129" t="n">
        <v>46295</v>
      </c>
      <c r="G37" s="130" t="n">
        <v>1</v>
      </c>
      <c r="H37" s="130" t="n">
        <v>1</v>
      </c>
      <c r="I37" s="47" t="inlineStr">
        <is>
          <t>Reserved for Client P from 1Oct - 31May2027. Resigned.</t>
        </is>
      </c>
    </row>
    <row r="38">
      <c r="A38" s="394" t="n"/>
      <c r="B38" s="50" t="n"/>
      <c r="C38" s="86" t="inlineStr">
        <is>
          <t>Masked Person 90</t>
        </is>
      </c>
      <c r="D38" s="107">
        <f>VLOOKUP(C38,Master!A:C,3,0)</f>
        <v/>
      </c>
      <c r="E38" s="107" t="n"/>
      <c r="F38" s="129" t="n">
        <v>46360</v>
      </c>
      <c r="G38" s="130" t="n">
        <v>1</v>
      </c>
      <c r="H38" s="130" t="n">
        <v>1</v>
      </c>
      <c r="I38" s="47" t="inlineStr">
        <is>
          <t>Till 4Dec which is her internship ending.</t>
        </is>
      </c>
    </row>
    <row r="39">
      <c r="A39" s="394" t="n"/>
      <c r="B39" s="50" t="n"/>
      <c r="C39" s="86" t="inlineStr">
        <is>
          <t>Masked Person 95</t>
        </is>
      </c>
      <c r="D39" s="107">
        <f>VLOOKUP(C39,Master!A:C,3,0)</f>
        <v/>
      </c>
      <c r="E39" s="107" t="n"/>
      <c r="F39" s="129" t="n">
        <v>46606</v>
      </c>
      <c r="G39" s="130" t="n">
        <v>1</v>
      </c>
      <c r="H39" s="130" t="n">
        <v>1</v>
      </c>
      <c r="I39" s="47" t="n"/>
    </row>
    <row r="40" ht="15" customHeight="1" s="350" thickBot="1">
      <c r="A40" s="395" t="n"/>
      <c r="B40" s="204" t="n"/>
      <c r="C40" s="287" t="n"/>
      <c r="D40" s="120" t="n"/>
      <c r="E40" s="120" t="n"/>
      <c r="F40" s="120" t="n"/>
      <c r="G40" s="142" t="n"/>
      <c r="H40" s="235" t="n"/>
      <c r="I40" s="49" t="n"/>
    </row>
    <row r="41" ht="15" customHeight="1" s="350" thickBot="1">
      <c r="A41" s="81" t="n"/>
      <c r="B41" s="81" t="n"/>
      <c r="F41" s="199" t="n"/>
      <c r="H41" s="258" t="n"/>
      <c r="I41" s="104" t="n"/>
    </row>
    <row r="42" ht="15" customHeight="1" s="350" thickBot="1">
      <c r="A42" s="344" t="inlineStr">
        <is>
          <t>Client D</t>
        </is>
      </c>
      <c r="B42" s="346" t="inlineStr">
        <is>
          <t>Masked Person 11</t>
        </is>
      </c>
      <c r="C42" s="45" t="inlineStr">
        <is>
          <t>Masked Person 11</t>
        </is>
      </c>
      <c r="D42" s="116">
        <f>VLOOKUP(C42,Master!A:C,3,0)</f>
        <v/>
      </c>
      <c r="E42" s="240" t="n">
        <v>45139</v>
      </c>
      <c r="F42" s="118" t="n">
        <v>46387</v>
      </c>
      <c r="G42" s="134" t="n">
        <v>0.25</v>
      </c>
      <c r="H42" s="134" t="n">
        <v>0.5</v>
      </c>
      <c r="I42" s="46" t="n"/>
    </row>
    <row r="43" ht="15" customHeight="1" s="350" thickBot="1">
      <c r="A43" s="396" t="n"/>
      <c r="B43" s="50" t="n"/>
      <c r="C43" s="44" t="inlineStr">
        <is>
          <t>Masked Person 22</t>
        </is>
      </c>
      <c r="D43" s="107">
        <f>VLOOKUP(C43,Master!A:C,3,0)</f>
        <v/>
      </c>
      <c r="E43" s="107" t="n"/>
      <c r="F43" s="129" t="n">
        <v>46661</v>
      </c>
      <c r="G43" s="130" t="n">
        <v>1</v>
      </c>
      <c r="H43" s="130">
        <f>VLOOKUP(C43,'[2]AI &amp; Data'!$B:$H,7,0)</f>
        <v/>
      </c>
      <c r="I43" s="47" t="n"/>
    </row>
    <row r="44" ht="15" customHeight="1" s="350" thickBot="1">
      <c r="A44" s="396" t="n"/>
      <c r="B44" s="50" t="n"/>
      <c r="C44" s="44" t="inlineStr">
        <is>
          <t>Masked Person 41</t>
        </is>
      </c>
      <c r="D44" s="107">
        <f>VLOOKUP(C44,Master!A:C,3,0)</f>
        <v/>
      </c>
      <c r="E44" s="107" t="n"/>
      <c r="F44" s="129" t="n">
        <v>46374</v>
      </c>
      <c r="G44" s="130" t="n">
        <v>1</v>
      </c>
      <c r="H44" s="130">
        <f>VLOOKUP(C44,'[2]AI &amp; Data'!$B:$H,7,0)</f>
        <v/>
      </c>
      <c r="I44" s="47" t="inlineStr">
        <is>
          <t>Internship ending date is 18 December 2026</t>
        </is>
      </c>
    </row>
    <row r="45" ht="15" customHeight="1" s="350" thickBot="1">
      <c r="A45" s="396" t="n"/>
      <c r="B45" s="50" t="n"/>
      <c r="C45" s="44" t="inlineStr">
        <is>
          <t>Masked Person 73</t>
        </is>
      </c>
      <c r="D45" s="107">
        <f>VLOOKUP(C45,Master!A:C,3,0)</f>
        <v/>
      </c>
      <c r="E45" s="107" t="n"/>
      <c r="F45" s="129" t="n">
        <v>46661</v>
      </c>
      <c r="G45" s="130" t="n">
        <v>1</v>
      </c>
      <c r="H45" s="130">
        <f>VLOOKUP(C45,'[2]AI &amp; Data'!$B:$H,7,0)</f>
        <v/>
      </c>
      <c r="I45" s="47" t="n"/>
    </row>
    <row r="46" ht="15" customHeight="1" s="350" thickBot="1">
      <c r="A46" s="396" t="n"/>
      <c r="B46" s="50" t="n"/>
      <c r="C46" s="44" t="inlineStr">
        <is>
          <t>Masked Person 46</t>
        </is>
      </c>
      <c r="D46" s="107">
        <f>VLOOKUP(C46,Master!A:C,3,0)</f>
        <v/>
      </c>
      <c r="E46" s="129" t="n">
        <v>46419</v>
      </c>
      <c r="F46" s="129" t="n">
        <v>46661</v>
      </c>
      <c r="G46" s="130" t="n">
        <v>1</v>
      </c>
      <c r="H46" s="130">
        <f>VLOOKUP(C46,'[2]AI &amp; Data'!$B:$H,7,0)</f>
        <v/>
      </c>
      <c r="I46" s="85" t="n"/>
    </row>
    <row r="47" ht="15" customHeight="1" s="350" thickBot="1">
      <c r="A47" s="397" t="n"/>
      <c r="B47" s="132" t="n"/>
      <c r="C47" s="204" t="n"/>
      <c r="D47" s="203" t="n"/>
      <c r="E47" s="205" t="n"/>
      <c r="F47" s="205" t="n"/>
      <c r="G47" s="206" t="n"/>
      <c r="H47" s="206" t="n"/>
      <c r="I47" s="49" t="n"/>
    </row>
    <row r="48" ht="15" customHeight="1" s="350" thickBot="1">
      <c r="A48" s="81" t="n"/>
      <c r="B48" s="81" t="n"/>
      <c r="F48" s="199" t="n"/>
      <c r="H48" s="258" t="n"/>
      <c r="I48" s="104" t="n"/>
    </row>
    <row r="49">
      <c r="A49" s="344" t="inlineStr">
        <is>
          <t>Client F</t>
        </is>
      </c>
      <c r="B49" s="359" t="inlineStr">
        <is>
          <t>Masked Person 29</t>
        </is>
      </c>
      <c r="C49" s="45" t="inlineStr">
        <is>
          <t>Masked Person 29</t>
        </is>
      </c>
      <c r="D49" s="346">
        <f>VLOOKUP(C49,Master!A:C,3,0)</f>
        <v/>
      </c>
      <c r="E49" s="136" t="n"/>
      <c r="F49" s="136" t="n"/>
      <c r="G49" s="137" t="n">
        <v>0</v>
      </c>
      <c r="H49" s="134">
        <f>VLOOKUP(C49,'[2]AI &amp; Data'!$B:$H,7,0)</f>
        <v/>
      </c>
      <c r="I49" s="46" t="n"/>
    </row>
    <row r="50">
      <c r="A50" s="396" t="n"/>
      <c r="B50" s="50" t="n"/>
      <c r="C50" s="360" t="inlineStr">
        <is>
          <t>Masked Person 60</t>
        </is>
      </c>
      <c r="D50" s="349">
        <f>VLOOKUP(C50,Master!A:C,3,0)</f>
        <v/>
      </c>
      <c r="E50" s="161" t="n"/>
      <c r="F50" s="161" t="n">
        <v>46276</v>
      </c>
      <c r="G50" s="162" t="n">
        <v>1</v>
      </c>
      <c r="H50" s="130" t="n"/>
      <c r="I50" s="47" t="n"/>
    </row>
    <row r="51">
      <c r="A51" s="396" t="n"/>
      <c r="B51" s="50" t="n"/>
      <c r="C51" s="44" t="inlineStr">
        <is>
          <t>Masked Person 68</t>
        </is>
      </c>
      <c r="D51" s="349">
        <f>VLOOKUP(C51,Master!A:C,3,0)</f>
        <v/>
      </c>
      <c r="E51" s="161" t="n">
        <v>46188</v>
      </c>
      <c r="F51" s="161" t="n">
        <v>46296</v>
      </c>
      <c r="G51" s="162" t="n">
        <v>0.55</v>
      </c>
      <c r="H51" s="130">
        <f>VLOOKUP(C51,'[2]AI &amp; Data'!$B:$H,7,0)</f>
        <v/>
      </c>
      <c r="I51" s="47" t="inlineStr">
        <is>
          <t>Client AD (BD) &amp; Reserved for Client W or Client V (BD), will be on 100% bench after 1Oct</t>
        </is>
      </c>
    </row>
    <row r="52" ht="15" customHeight="1" s="350" thickBot="1">
      <c r="A52" s="397" t="n"/>
      <c r="B52" s="132" t="n"/>
      <c r="C52" s="361" t="n"/>
      <c r="D52" s="347" t="n"/>
      <c r="E52" s="210" t="n"/>
      <c r="F52" s="210" t="n"/>
      <c r="G52" s="211" t="n"/>
      <c r="H52" s="142" t="n"/>
      <c r="I52" s="49" t="n"/>
    </row>
    <row r="53" ht="15" customHeight="1" s="350" thickBot="1">
      <c r="A53" s="379" t="n"/>
      <c r="B53" s="15" t="n"/>
      <c r="F53" s="199" t="n"/>
      <c r="G53" s="291" t="n"/>
      <c r="I53" s="289" t="n"/>
    </row>
    <row r="54">
      <c r="A54" s="344" t="inlineStr">
        <is>
          <t>Client J</t>
        </is>
      </c>
      <c r="B54" s="398" t="inlineStr">
        <is>
          <t>Masked Person 29</t>
        </is>
      </c>
      <c r="C54" s="359" t="inlineStr">
        <is>
          <t>Masked Person 29</t>
        </is>
      </c>
      <c r="D54" s="346">
        <f>VLOOKUP(C54,Master!A:C,3,0)</f>
        <v/>
      </c>
      <c r="E54" s="118" t="n"/>
      <c r="F54" s="118" t="n"/>
      <c r="G54" s="134" t="n">
        <v>0</v>
      </c>
      <c r="H54" s="134" t="n"/>
      <c r="I54" s="299" t="inlineStr">
        <is>
          <t>opportunity code yet to be created. Targeting to create by 10Sep2026</t>
        </is>
      </c>
    </row>
    <row r="55">
      <c r="A55" s="396" t="n"/>
      <c r="B55" s="399" t="n"/>
      <c r="C55" s="44" t="inlineStr">
        <is>
          <t>Masked Person 25</t>
        </is>
      </c>
      <c r="D55" s="107">
        <f>VLOOKUP(C55,Master!A:C,3,0)</f>
        <v/>
      </c>
      <c r="E55" s="129" t="n">
        <v>46245</v>
      </c>
      <c r="F55" s="129" t="n">
        <v>46371</v>
      </c>
      <c r="G55" s="130" t="n">
        <v>1</v>
      </c>
      <c r="H55" s="130">
        <f>VLOOKUP(C55,'[2]AI &amp; Data'!$B:$H,7,0)</f>
        <v/>
      </c>
      <c r="I55" s="47" t="n"/>
    </row>
    <row r="56">
      <c r="A56" s="396" t="n"/>
      <c r="B56" s="399" t="n"/>
      <c r="C56" s="217" t="inlineStr">
        <is>
          <t>Masked Person 45</t>
        </is>
      </c>
      <c r="D56" s="107">
        <f>VLOOKUP(C56,Master!A:C,3,0)</f>
        <v/>
      </c>
      <c r="E56" s="129" t="n">
        <v>46245</v>
      </c>
      <c r="F56" s="129" t="n">
        <v>46283</v>
      </c>
      <c r="G56" s="130" t="n">
        <v>1</v>
      </c>
      <c r="H56" s="130">
        <f>VLOOKUP(C56,'[2]AI &amp; Data'!$B:$H,7,0)</f>
        <v/>
      </c>
      <c r="I56" s="47" t="inlineStr">
        <is>
          <t>Internship ending date is 18Sep2026.</t>
        </is>
      </c>
    </row>
    <row r="57">
      <c r="A57" s="396" t="n"/>
      <c r="B57" s="399" t="n"/>
      <c r="C57" s="44" t="inlineStr">
        <is>
          <t>Masked Person 64</t>
        </is>
      </c>
      <c r="D57" s="107">
        <f>VLOOKUP(C57,Master!A:C,3,0)</f>
        <v/>
      </c>
      <c r="E57" s="129" t="n">
        <v>46245</v>
      </c>
      <c r="F57" s="129" t="n">
        <v>46371</v>
      </c>
      <c r="G57" s="130" t="n">
        <v>1</v>
      </c>
      <c r="H57" s="130">
        <f>VLOOKUP(C57,'[2]AI &amp; Data'!$B:$H,7,0)</f>
        <v/>
      </c>
      <c r="I57" s="47" t="inlineStr">
        <is>
          <t>Internship ending date is 11Dec2026.</t>
        </is>
      </c>
    </row>
    <row r="58" ht="15" customHeight="1" s="350" thickBot="1">
      <c r="A58" s="397" t="n"/>
      <c r="B58" s="398" t="n"/>
      <c r="C58" s="48" t="n"/>
      <c r="D58" s="120" t="n"/>
      <c r="E58" s="120" t="n"/>
      <c r="F58" s="293" t="n"/>
      <c r="G58" s="142" t="n"/>
      <c r="H58" s="142" t="n"/>
      <c r="I58" s="294" t="n"/>
    </row>
    <row r="59" ht="15" customHeight="1" s="350" thickBot="1">
      <c r="A59" s="379" t="n"/>
      <c r="B59" s="15" t="n"/>
      <c r="F59" s="199" t="n"/>
      <c r="G59" s="291" t="n"/>
      <c r="I59" s="289" t="n"/>
    </row>
    <row r="60">
      <c r="A60" s="393" t="inlineStr">
        <is>
          <t>Client S</t>
        </is>
      </c>
      <c r="B60" s="362" t="inlineStr">
        <is>
          <t>Masked Person 29</t>
        </is>
      </c>
      <c r="C60" s="298" t="inlineStr">
        <is>
          <t>Masked Person 29</t>
        </is>
      </c>
      <c r="D60" s="383">
        <f>VLOOKUP(C60,Master!A:C,3,0)</f>
        <v/>
      </c>
      <c r="E60" s="232" t="n">
        <v>46272</v>
      </c>
      <c r="F60" s="232" t="n">
        <v>46418</v>
      </c>
      <c r="G60" s="233" t="n">
        <v>0.15</v>
      </c>
      <c r="H60" s="262" t="n">
        <v>0.15</v>
      </c>
      <c r="I60" s="299" t="inlineStr">
        <is>
          <t>opportunity code yet to be created. Targeting to create by 10Sep2026</t>
        </is>
      </c>
      <c r="J60" t="inlineStr">
        <is>
          <t>Projection on Masked Person 29''s chargeability</t>
        </is>
      </c>
    </row>
    <row r="61">
      <c r="A61" s="394" t="n"/>
      <c r="B61" s="50" t="n"/>
      <c r="C61" s="296" t="inlineStr">
        <is>
          <t>Masked Person 35</t>
        </is>
      </c>
      <c r="D61" s="107">
        <f>VLOOKUP(C61,Master!A:C,3,0)</f>
        <v/>
      </c>
      <c r="E61" s="129" t="n">
        <v>46266</v>
      </c>
      <c r="F61" s="129" t="n">
        <v>46418</v>
      </c>
      <c r="G61" s="162" t="n">
        <v>1</v>
      </c>
      <c r="H61" s="130">
        <f>VLOOKUP(C61,'[3]AI &amp; Data'!$B:$H,7,0)</f>
        <v/>
      </c>
      <c r="I61" s="182" t="n"/>
    </row>
    <row r="62">
      <c r="A62" s="394" t="n"/>
      <c r="B62" s="50" t="n"/>
      <c r="C62" s="297" t="inlineStr">
        <is>
          <t>Masked Person 34</t>
        </is>
      </c>
      <c r="D62" s="107">
        <f>VLOOKUP(C62,Master!A:C,3,0)</f>
        <v/>
      </c>
      <c r="E62" s="129" t="n">
        <v>46266</v>
      </c>
      <c r="F62" s="129" t="n">
        <v>46418</v>
      </c>
      <c r="G62" s="162" t="n">
        <v>1</v>
      </c>
      <c r="H62" s="130">
        <f>VLOOKUP(C62,'[3]AI &amp; Data'!$B:$H,7,0)</f>
        <v/>
      </c>
      <c r="I62" s="182" t="n"/>
    </row>
    <row r="63">
      <c r="A63" s="394" t="n"/>
      <c r="B63" s="50" t="n"/>
      <c r="C63" s="303" t="inlineStr">
        <is>
          <t>Masked Person 83</t>
        </is>
      </c>
      <c r="D63" s="117">
        <f>VLOOKUP(C63,Master!A:C,3,0)</f>
        <v/>
      </c>
      <c r="E63" s="253" t="n">
        <v>46266</v>
      </c>
      <c r="F63" s="253" t="n">
        <v>46418</v>
      </c>
      <c r="G63" s="141" t="n">
        <v>1</v>
      </c>
      <c r="H63" s="141">
        <f>VLOOKUP(C63,'[3]AI &amp; Data'!$B:$H,7,0)</f>
        <v/>
      </c>
      <c r="I63" s="85" t="n"/>
    </row>
    <row r="64" ht="15" customHeight="1" s="350" thickBot="1">
      <c r="A64" s="394" t="n"/>
      <c r="B64" s="50" t="n"/>
      <c r="C64" s="225" t="inlineStr">
        <is>
          <t>Masked Person 39</t>
        </is>
      </c>
      <c r="D64" s="107">
        <f>VLOOKUP(C64,Master!A:C,3,0)</f>
        <v/>
      </c>
      <c r="E64" s="129" t="n">
        <v>46272</v>
      </c>
      <c r="F64" s="129" t="n">
        <v>46418</v>
      </c>
      <c r="G64" s="130" t="n">
        <v>0.6</v>
      </c>
      <c r="H64" s="130" t="n"/>
      <c r="I64" s="47" t="inlineStr">
        <is>
          <t xml:space="preserve">Till 31Oct - 60%, From 01Nov-31Jan2027 - 100% </t>
        </is>
      </c>
    </row>
    <row r="65" ht="15" customHeight="1" s="350" thickBot="1">
      <c r="A65" s="395" t="n"/>
      <c r="B65" s="132" t="n"/>
      <c r="C65" s="295" t="n"/>
      <c r="D65" s="236" t="n"/>
      <c r="E65" s="236" t="n"/>
      <c r="F65" s="237" t="n"/>
      <c r="G65" s="238" t="n"/>
      <c r="H65" s="235" t="n"/>
      <c r="I65" s="249" t="n"/>
    </row>
    <row r="66" ht="15" customHeight="1" s="350" thickBot="1">
      <c r="A66" s="81" t="n"/>
      <c r="B66" s="81" t="n"/>
      <c r="F66" s="199" t="n"/>
    </row>
    <row r="67" ht="15" customHeight="1" s="350" thickBot="1">
      <c r="A67" s="375" t="inlineStr">
        <is>
          <t>Client I</t>
        </is>
      </c>
      <c r="B67" s="377" t="inlineStr">
        <is>
          <t>Masked Person 29</t>
        </is>
      </c>
      <c r="C67" s="304" t="inlineStr">
        <is>
          <t>Masked Person 29</t>
        </is>
      </c>
      <c r="D67" s="341">
        <f>VLOOKUP(C67,Master!A:C,3,0)</f>
        <v/>
      </c>
      <c r="E67" s="306" t="n"/>
      <c r="F67" s="306" t="n"/>
      <c r="G67" s="307" t="n"/>
      <c r="H67" s="307">
        <f>VLOOKUP(C67,'[3]AI &amp; Data'!$B:$H,7,0)</f>
        <v/>
      </c>
      <c r="I67" s="400" t="inlineStr">
        <is>
          <t>All the resources are released and reserved for next engagements</t>
        </is>
      </c>
    </row>
    <row r="68" ht="15" customHeight="1" s="350" thickBot="1">
      <c r="A68" s="396" t="n"/>
      <c r="B68" s="50" t="n"/>
      <c r="C68" s="308" t="inlineStr">
        <is>
          <t>Masked Person 15</t>
        </is>
      </c>
      <c r="D68" s="301">
        <f>VLOOKUP(C68,Master!A:C,3,0)</f>
        <v/>
      </c>
      <c r="E68" s="309" t="n">
        <v>46198</v>
      </c>
      <c r="F68" s="309" t="n">
        <v>46266</v>
      </c>
      <c r="G68" s="310" t="n">
        <v>1</v>
      </c>
      <c r="H68" s="310">
        <f>VLOOKUP(C68,'[3]AI &amp; Data'!$B:$H,7,0)</f>
        <v/>
      </c>
      <c r="I68" s="289" t="n"/>
    </row>
    <row r="69" ht="15" customHeight="1" s="350" thickBot="1">
      <c r="A69" s="396" t="n"/>
      <c r="B69" s="50" t="n"/>
      <c r="C69" s="300" t="inlineStr">
        <is>
          <t>Masked Person 19</t>
        </is>
      </c>
      <c r="D69" s="301">
        <f>VLOOKUP(C69,Master!A:C,3,0)</f>
        <v/>
      </c>
      <c r="E69" s="302" t="n">
        <v>46148</v>
      </c>
      <c r="F69" s="302" t="n">
        <v>46268</v>
      </c>
      <c r="G69" s="311" t="n">
        <v>0.5</v>
      </c>
      <c r="H69" s="310">
        <f>VLOOKUP(C69,'[3]AI &amp; Data'!$B:$H,7,0)</f>
        <v/>
      </c>
      <c r="I69" s="289" t="n"/>
    </row>
    <row r="70" ht="15" customHeight="1" s="350" thickBot="1">
      <c r="A70" s="396" t="n"/>
      <c r="B70" s="50" t="n"/>
      <c r="C70" s="308" t="inlineStr">
        <is>
          <t>Masked Person 25</t>
        </is>
      </c>
      <c r="D70" s="312">
        <f>VLOOKUP(C70,Master!A:C,3,0)</f>
        <v/>
      </c>
      <c r="E70" s="309" t="n">
        <v>46054</v>
      </c>
      <c r="F70" s="309" t="n">
        <v>46266</v>
      </c>
      <c r="G70" s="310" t="n">
        <v>1</v>
      </c>
      <c r="H70" s="310">
        <f>VLOOKUP(C70,'[3]AI &amp; Data'!$B:$H,7,0)</f>
        <v/>
      </c>
      <c r="I70" s="289" t="n"/>
    </row>
    <row r="71" ht="15" customHeight="1" s="350" thickBot="1">
      <c r="A71" s="396" t="n"/>
      <c r="B71" s="50" t="n"/>
      <c r="C71" s="308" t="inlineStr">
        <is>
          <t>Masked Person 45</t>
        </is>
      </c>
      <c r="D71" s="312">
        <f>VLOOKUP(C71,Master!A:C,3,0)</f>
        <v/>
      </c>
      <c r="E71" s="309" t="n">
        <v>46148</v>
      </c>
      <c r="F71" s="309" t="n">
        <v>46266</v>
      </c>
      <c r="G71" s="310" t="n">
        <v>1</v>
      </c>
      <c r="H71" s="310">
        <f>VLOOKUP(C71,'[3]AI &amp; Data'!$B:$H,7,0)</f>
        <v/>
      </c>
      <c r="I71" s="289" t="n"/>
    </row>
    <row r="72" ht="15" customHeight="1" s="350" thickBot="1">
      <c r="A72" s="401" t="n"/>
      <c r="B72" s="204" t="n"/>
      <c r="C72" s="313" t="n"/>
      <c r="D72" s="314" t="n"/>
      <c r="E72" s="315" t="n"/>
      <c r="F72" s="315" t="n"/>
      <c r="G72" s="316" t="n"/>
      <c r="H72" s="317" t="n"/>
      <c r="I72" s="249" t="n"/>
      <c r="J72" s="188" t="n"/>
    </row>
    <row r="73" ht="15" customHeight="1" s="350" thickBot="1">
      <c r="A73" s="379" t="n"/>
      <c r="B73" s="15" t="n"/>
      <c r="F73" s="199" t="n"/>
      <c r="H73" s="258" t="n"/>
      <c r="I73" s="104" t="n"/>
    </row>
    <row r="74" ht="15" customHeight="1" s="350" thickBot="1">
      <c r="A74" s="402" t="inlineStr">
        <is>
          <t>Client U</t>
        </is>
      </c>
      <c r="B74" s="403" t="inlineStr">
        <is>
          <t>Masked Person 16</t>
        </is>
      </c>
      <c r="C74" s="356" t="inlineStr">
        <is>
          <t>Masked Person 16</t>
        </is>
      </c>
      <c r="D74" s="346">
        <f>VLOOKUP(C74,Master!A:C,3,0)</f>
        <v/>
      </c>
      <c r="E74" s="136" t="n">
        <v>46296</v>
      </c>
      <c r="F74" s="136" t="n">
        <v>46418</v>
      </c>
      <c r="G74" s="137" t="n">
        <v>0</v>
      </c>
      <c r="H74" s="134" t="n"/>
      <c r="I74" s="290" t="inlineStr">
        <is>
          <t>Expecting to close the BD by End of Sep.</t>
        </is>
      </c>
    </row>
    <row r="75" ht="15" customHeight="1" s="350" thickBot="1">
      <c r="A75" s="396" t="n"/>
      <c r="B75" s="399" t="n"/>
      <c r="C75" s="360" t="inlineStr">
        <is>
          <t>Masked Person 60</t>
        </is>
      </c>
      <c r="D75" s="349">
        <f>VLOOKUP(C75,Master!A:C,3,0)</f>
        <v/>
      </c>
      <c r="E75" s="161" t="n">
        <v>46296</v>
      </c>
      <c r="F75" s="161" t="n">
        <v>46418</v>
      </c>
      <c r="G75" s="162" t="n">
        <v>1</v>
      </c>
      <c r="H75" s="130" t="n"/>
      <c r="I75" s="212" t="n"/>
    </row>
    <row r="76" ht="15" customHeight="1" s="350" thickBot="1">
      <c r="A76" s="396" t="n"/>
      <c r="B76" s="399" t="n"/>
      <c r="C76" s="178" t="inlineStr">
        <is>
          <t>Masked Person 12</t>
        </is>
      </c>
      <c r="D76" s="349">
        <f>VLOOKUP(C76,Master!A:C,3,0)</f>
        <v/>
      </c>
      <c r="E76" s="161" t="n">
        <v>46296</v>
      </c>
      <c r="F76" s="161" t="n">
        <v>46418</v>
      </c>
      <c r="G76" s="162" t="n">
        <v>1</v>
      </c>
      <c r="H76" s="130" t="n"/>
      <c r="I76" s="182" t="n"/>
    </row>
    <row r="77" ht="15" customHeight="1" s="350" thickBot="1">
      <c r="A77" s="401" t="n"/>
      <c r="B77" s="398" t="n"/>
      <c r="C77" s="284" t="n"/>
      <c r="D77" s="386" t="n"/>
      <c r="E77" s="288" t="n"/>
      <c r="F77" s="288" t="n"/>
      <c r="G77" s="292" t="n"/>
      <c r="H77" s="206" t="n"/>
      <c r="I77" s="207" t="n"/>
    </row>
    <row r="78" ht="15" customHeight="1" s="350" thickBot="1">
      <c r="A78" s="379" t="n"/>
      <c r="B78" s="15" t="n"/>
      <c r="F78" s="199" t="n"/>
      <c r="G78" s="291" t="n"/>
      <c r="I78" s="289" t="n"/>
    </row>
    <row r="79">
      <c r="A79" s="344" t="inlineStr">
        <is>
          <t>Client C</t>
        </is>
      </c>
      <c r="B79" s="346" t="inlineStr">
        <is>
          <t>Masked Person 61</t>
        </is>
      </c>
      <c r="C79" t="inlineStr">
        <is>
          <t>Masked Person 61</t>
        </is>
      </c>
      <c r="D79" s="116">
        <f>VLOOKUP(C79,Master!A:C,3,0)</f>
        <v/>
      </c>
      <c r="E79" s="118" t="n"/>
      <c r="F79" s="118" t="n"/>
      <c r="G79" s="134" t="n">
        <v>0</v>
      </c>
      <c r="H79" s="134">
        <f>VLOOKUP(C79,'[2]AI &amp; Data'!$B:$H,7,0)</f>
        <v/>
      </c>
      <c r="I79" t="inlineStr">
        <is>
          <t>Chargeabilty from 28Sep, 20% start with and till 6 months</t>
        </is>
      </c>
    </row>
    <row r="80">
      <c r="A80" s="396" t="n"/>
      <c r="B80" s="50" t="n"/>
      <c r="C80" s="44" t="inlineStr">
        <is>
          <t>Masked Person 30</t>
        </is>
      </c>
      <c r="D80" s="107">
        <f>VLOOKUP(C80,Master!A:C,3,0)</f>
        <v/>
      </c>
      <c r="E80" s="129" t="n">
        <v>46237</v>
      </c>
      <c r="F80" s="129" t="n">
        <v>47603</v>
      </c>
      <c r="G80" s="130" t="n">
        <v>1</v>
      </c>
      <c r="H80" s="130">
        <f>VLOOKUP(C80,'[2]AI &amp; Data'!$B:$H,7,0)</f>
        <v/>
      </c>
      <c r="I80" s="163" t="n"/>
    </row>
    <row r="81">
      <c r="A81" s="396" t="n"/>
      <c r="B81" s="50" t="n"/>
      <c r="C81" s="44" t="inlineStr">
        <is>
          <t>Masked Person 44</t>
        </is>
      </c>
      <c r="D81" s="107">
        <f>VLOOKUP(C81,Master!A:C,3,0)</f>
        <v/>
      </c>
      <c r="E81" s="129" t="n">
        <v>46237</v>
      </c>
      <c r="F81" s="129" t="n">
        <v>46507</v>
      </c>
      <c r="G81" s="130" t="n">
        <v>1</v>
      </c>
      <c r="H81" s="130">
        <f>VLOOKUP(C81,'[2]AI &amp; Data'!$B:$H,7,0)</f>
        <v/>
      </c>
      <c r="I81" s="163" t="n"/>
    </row>
    <row r="82">
      <c r="A82" s="396" t="n"/>
      <c r="B82" s="50" t="n"/>
      <c r="C82" s="44" t="inlineStr">
        <is>
          <t>Masked Person 52</t>
        </is>
      </c>
      <c r="D82" s="107">
        <f>VLOOKUP(C82,Master!A:C,3,0)</f>
        <v/>
      </c>
      <c r="E82" s="129" t="n">
        <v>46237</v>
      </c>
      <c r="F82" s="129" t="n">
        <v>47603</v>
      </c>
      <c r="G82" s="130" t="n">
        <v>1</v>
      </c>
      <c r="H82" s="130">
        <f>VLOOKUP(C82,'[2]AI &amp; Data'!$B:$H,7,0)</f>
        <v/>
      </c>
      <c r="I82" s="163" t="n"/>
    </row>
    <row r="83">
      <c r="A83" s="396" t="n"/>
      <c r="B83" s="50" t="n"/>
      <c r="C83" s="44" t="inlineStr">
        <is>
          <t>Masked Person 55</t>
        </is>
      </c>
      <c r="D83" s="107">
        <f>VLOOKUP(C83,Master!A:C,3,0)</f>
        <v/>
      </c>
      <c r="E83" s="129" t="n">
        <v>46237</v>
      </c>
      <c r="F83" s="129" t="n">
        <v>46356</v>
      </c>
      <c r="G83" s="130" t="n">
        <v>0.6</v>
      </c>
      <c r="H83" s="130">
        <f>VLOOKUP(C83,'[2]AI &amp; Data'!$B:$H,7,0)</f>
        <v/>
      </c>
      <c r="I83" s="324" t="n"/>
    </row>
    <row r="84">
      <c r="A84" s="396" t="n"/>
      <c r="B84" s="50" t="n"/>
      <c r="C84" s="217" t="inlineStr">
        <is>
          <t>Masked Person 53</t>
        </is>
      </c>
      <c r="D84" s="218">
        <f>VLOOKUP(C84,Master!A:C,3,0)</f>
        <v/>
      </c>
      <c r="E84" s="190" t="n">
        <v>46237</v>
      </c>
      <c r="F84" s="190" t="n">
        <v>47603</v>
      </c>
      <c r="G84" s="219" t="n">
        <v>0.2</v>
      </c>
      <c r="H84" s="130">
        <f>VLOOKUP(C84,'[2]AI &amp; Data'!$B:$H,7,0)</f>
        <v/>
      </c>
      <c r="I84" s="323" t="n"/>
    </row>
    <row r="85" ht="15" customHeight="1" s="350" thickBot="1">
      <c r="A85" s="397" t="n"/>
      <c r="B85" s="132" t="n"/>
      <c r="C85" s="361" t="n"/>
      <c r="D85" s="347" t="n"/>
      <c r="E85" s="210" t="n"/>
      <c r="F85" s="210" t="n"/>
      <c r="G85" s="211" t="n"/>
      <c r="H85" s="142" t="n"/>
      <c r="I85" s="49" t="n"/>
    </row>
    <row r="86" ht="15" customHeight="1" s="350" thickBot="1">
      <c r="A86" s="379" t="n"/>
      <c r="B86" s="15" t="n"/>
      <c r="F86" s="199" t="n"/>
      <c r="H86" s="258" t="n"/>
      <c r="I86" s="104" t="n"/>
    </row>
    <row r="87">
      <c r="A87" s="368" t="inlineStr">
        <is>
          <t>Project C2</t>
        </is>
      </c>
      <c r="B87" s="371" t="inlineStr">
        <is>
          <t>Masked Person 40</t>
        </is>
      </c>
      <c r="C87" s="213" t="inlineStr">
        <is>
          <t>Masked Person 40</t>
        </is>
      </c>
      <c r="D87" s="214">
        <f>VLOOKUP(C87,Master!A:C,3,0)</f>
        <v/>
      </c>
      <c r="E87" s="215" t="n">
        <v>45691</v>
      </c>
      <c r="F87" s="215" t="n">
        <v>46326</v>
      </c>
      <c r="G87" s="216" t="n">
        <v>0.1</v>
      </c>
      <c r="H87" s="134">
        <f>VLOOKUP(C87,'[3]AI &amp; Data'!$B:$H,7,0)</f>
        <v/>
      </c>
      <c r="I87" t="inlineStr">
        <is>
          <t>increased to 30% when the investigation assistant starts for Project C2. Totally increased to 55%</t>
        </is>
      </c>
    </row>
    <row r="88">
      <c r="A88" s="396" t="n"/>
      <c r="B88" s="50" t="n"/>
      <c r="C88" s="217" t="inlineStr">
        <is>
          <t>Masked Person 27</t>
        </is>
      </c>
      <c r="D88" s="218">
        <f>VLOOKUP(C88,Master!A:C,3,0)</f>
        <v/>
      </c>
      <c r="E88" s="190" t="n">
        <v>45691</v>
      </c>
      <c r="F88" s="190" t="inlineStr">
        <is>
          <t>31 Nov 26</t>
        </is>
      </c>
      <c r="G88" s="219" t="n">
        <v>0.4</v>
      </c>
      <c r="H88" s="130">
        <f>VLOOKUP(C88,'[3]AI &amp; Data'!$B:$H,7,0)</f>
        <v/>
      </c>
      <c r="I88" s="47" t="inlineStr">
        <is>
          <t>Enhancement + SR</t>
        </is>
      </c>
    </row>
    <row r="89">
      <c r="A89" s="396" t="n"/>
      <c r="B89" s="50" t="n"/>
      <c r="C89" s="217" t="inlineStr">
        <is>
          <t>Masked Person 72</t>
        </is>
      </c>
      <c r="D89" s="218">
        <f>VLOOKUP(C89,Master!A:C,3,0)</f>
        <v/>
      </c>
      <c r="E89" s="190" t="n">
        <v>46235</v>
      </c>
      <c r="F89" s="190" t="n">
        <v>46568</v>
      </c>
      <c r="G89" s="219" t="n">
        <v>1</v>
      </c>
      <c r="H89" s="130">
        <f>VLOOKUP(C89,'[3]AI &amp; Data'!$B:$H,7,0)</f>
        <v/>
      </c>
      <c r="I89" s="47" t="inlineStr">
        <is>
          <t>Enhancement + SR</t>
        </is>
      </c>
    </row>
    <row r="90">
      <c r="A90" s="396" t="n"/>
      <c r="B90" s="50" t="n"/>
      <c r="C90" s="217" t="inlineStr">
        <is>
          <t>Masked Person 35</t>
        </is>
      </c>
      <c r="D90" s="218">
        <f>VLOOKUP(C90,Master!A:C,3,0)</f>
        <v/>
      </c>
      <c r="E90" s="190" t="n">
        <v>46327</v>
      </c>
      <c r="F90" s="190" t="n">
        <v>46477</v>
      </c>
      <c r="G90" s="219" t="n"/>
      <c r="H90" s="130" t="n"/>
      <c r="I90" s="47" t="inlineStr">
        <is>
          <t>Proposed for Investigation Assistant</t>
        </is>
      </c>
    </row>
    <row r="91">
      <c r="A91" s="396" t="n"/>
      <c r="B91" s="50" t="n"/>
      <c r="C91" s="217" t="inlineStr">
        <is>
          <t>Masked Person 12</t>
        </is>
      </c>
      <c r="D91" s="218">
        <f>VLOOKUP(C91,Master!A:C,3,0)</f>
        <v/>
      </c>
      <c r="E91" s="190" t="n">
        <v>46296</v>
      </c>
      <c r="F91" s="190" t="n">
        <v>46477</v>
      </c>
      <c r="G91" s="219" t="n"/>
      <c r="H91" s="130" t="n"/>
      <c r="I91" s="47" t="inlineStr">
        <is>
          <t>Proposed for Investigation Assistant</t>
        </is>
      </c>
    </row>
    <row r="92">
      <c r="A92" s="396" t="n"/>
      <c r="B92" s="50" t="n"/>
      <c r="C92" s="217" t="inlineStr">
        <is>
          <t>Masked Person 68</t>
        </is>
      </c>
      <c r="D92" s="218">
        <f>VLOOKUP(C92,Master!A:C,3,0)</f>
        <v/>
      </c>
      <c r="E92" s="190" t="n">
        <v>46296</v>
      </c>
      <c r="F92" s="190" t="n">
        <v>46477</v>
      </c>
      <c r="G92" s="219" t="n"/>
      <c r="H92" s="130" t="n"/>
      <c r="I92" s="47" t="inlineStr">
        <is>
          <t>Proposed for Investigation Assistant</t>
        </is>
      </c>
    </row>
    <row r="93">
      <c r="A93" s="396" t="n"/>
      <c r="B93" s="50" t="n"/>
      <c r="C93" s="217" t="inlineStr">
        <is>
          <t>Masked Person 18</t>
        </is>
      </c>
      <c r="D93" s="218">
        <f>VLOOKUP(C93,Master!A:C,3,0)</f>
        <v/>
      </c>
      <c r="E93" s="190" t="n">
        <v>46327</v>
      </c>
      <c r="F93" s="190" t="n">
        <v>46477</v>
      </c>
      <c r="G93" s="219" t="n"/>
      <c r="H93" s="130" t="n"/>
      <c r="I93" s="47" t="inlineStr">
        <is>
          <t>Proposed for Investigation Assistant</t>
        </is>
      </c>
    </row>
    <row r="94">
      <c r="A94" s="396" t="n"/>
      <c r="B94" s="50" t="n"/>
      <c r="C94" s="217" t="inlineStr">
        <is>
          <t>Masked Person 90</t>
        </is>
      </c>
      <c r="D94" s="218">
        <f>VLOOKUP(C94,Master!A:C,3,0)</f>
        <v/>
      </c>
      <c r="E94" s="190" t="n">
        <v>46327</v>
      </c>
      <c r="F94" s="190" t="n">
        <v>46477</v>
      </c>
      <c r="G94" s="219" t="n"/>
      <c r="H94" s="130" t="n"/>
      <c r="I94" s="47" t="inlineStr">
        <is>
          <t>Proposed for Investigation Assistant</t>
        </is>
      </c>
    </row>
    <row r="95">
      <c r="A95" s="396" t="n"/>
      <c r="B95" s="50" t="n"/>
      <c r="C95" s="44" t="inlineStr">
        <is>
          <t>Masked Person 38</t>
        </is>
      </c>
      <c r="D95" s="107">
        <f>VLOOKUP(C95,Master!A:C,3,0)</f>
        <v/>
      </c>
      <c r="E95" s="190" t="n">
        <v>46296</v>
      </c>
      <c r="F95" s="129" t="n">
        <v>46418</v>
      </c>
      <c r="G95" s="130" t="n">
        <v>1</v>
      </c>
      <c r="H95" s="130">
        <f>VLOOKUP(C95,'[3]AI &amp; Data'!$B:$H,7,0)</f>
        <v/>
      </c>
      <c r="I95" s="47" t="inlineStr">
        <is>
          <t>Proposed for Investigation Assistant</t>
        </is>
      </c>
    </row>
    <row r="96" ht="15" customHeight="1" s="350" thickBot="1">
      <c r="A96" s="397" t="n"/>
      <c r="B96" s="132" t="n"/>
      <c r="C96" s="48" t="n"/>
      <c r="D96" s="120" t="n"/>
      <c r="E96" s="120" t="n"/>
      <c r="F96" s="120" t="n"/>
      <c r="G96" s="142" t="n"/>
      <c r="H96" s="142" t="n"/>
      <c r="I96" s="49" t="n"/>
    </row>
    <row r="97" ht="15" customHeight="1" s="350" thickBot="1">
      <c r="A97" s="379" t="n"/>
      <c r="B97" s="15" t="n"/>
      <c r="F97" s="199" t="n"/>
      <c r="H97" s="258" t="n"/>
      <c r="I97" s="104" t="n"/>
    </row>
    <row r="98">
      <c r="A98" s="398" t="inlineStr">
        <is>
          <t>Client P</t>
        </is>
      </c>
      <c r="B98" s="346" t="inlineStr">
        <is>
          <t>Masked Person 40</t>
        </is>
      </c>
      <c r="C98" s="45" t="inlineStr">
        <is>
          <t>Masked Person 40</t>
        </is>
      </c>
      <c r="D98" s="346">
        <f>VLOOKUP(C98,Master!A:C,3,0)</f>
        <v/>
      </c>
      <c r="E98" s="161" t="n">
        <v>46266</v>
      </c>
      <c r="F98" s="136" t="n">
        <v>46446</v>
      </c>
      <c r="G98" s="137" t="n">
        <v>0.25</v>
      </c>
      <c r="H98" s="134">
        <f>VLOOKUP(C98,'[3]AI &amp; Data'!$B:$H,7,0)</f>
        <v/>
      </c>
      <c r="I98" s="193" t="n"/>
    </row>
    <row r="99">
      <c r="A99" s="399" t="n"/>
      <c r="B99" s="50" t="n"/>
      <c r="C99" s="360" t="inlineStr">
        <is>
          <t>Masked Person 26</t>
        </is>
      </c>
      <c r="D99" s="349">
        <f>VLOOKUP(C99,Master!A:C,3,0)</f>
        <v/>
      </c>
      <c r="E99" s="161" t="n">
        <v>46239</v>
      </c>
      <c r="F99" s="161" t="n">
        <v>46538</v>
      </c>
      <c r="G99" s="162" t="n">
        <v>0.8</v>
      </c>
      <c r="H99" s="130">
        <f>VLOOKUP(C99,'[3]AI &amp; Data'!$B:$H,7,0)</f>
        <v/>
      </c>
      <c r="I99" s="168" t="inlineStr">
        <is>
          <t>60% - Aug26, 80% - Sept 26, 100% - 1Nov to 31 May 27</t>
        </is>
      </c>
    </row>
    <row r="100">
      <c r="A100" s="399" t="n"/>
      <c r="B100" s="50" t="n"/>
      <c r="C100" s="44" t="inlineStr">
        <is>
          <t>Masked Person 19</t>
        </is>
      </c>
      <c r="D100" s="349">
        <f>VLOOKUP(C100,Master!A:C,3,0)</f>
        <v/>
      </c>
      <c r="E100" s="161" t="n">
        <v>46252</v>
      </c>
      <c r="F100" s="161" t="n">
        <v>46357</v>
      </c>
      <c r="G100" s="162" t="n">
        <v>1</v>
      </c>
      <c r="H100" s="130">
        <f>VLOOKUP(C100,'[3]AI &amp; Data'!$B:$H,7,0)</f>
        <v/>
      </c>
      <c r="I100" s="47" t="inlineStr">
        <is>
          <t>50% Client P, 50% Client I until 21 Aug. Then 100% Client P till 1 Dec 26</t>
        </is>
      </c>
    </row>
    <row r="101">
      <c r="A101" s="399" t="n"/>
      <c r="B101" s="50" t="n"/>
      <c r="C101" s="158" t="inlineStr">
        <is>
          <t>Masked Person 81</t>
        </is>
      </c>
      <c r="D101" s="107">
        <f>VLOOKUP(C101,Master!A:C,3,0)</f>
        <v/>
      </c>
      <c r="E101" s="161" t="n">
        <v>46296</v>
      </c>
      <c r="F101" s="161" t="n">
        <v>46538</v>
      </c>
      <c r="G101" s="162" t="n">
        <v>1</v>
      </c>
      <c r="H101" s="130">
        <f>VLOOKUP(C101,'[3]AI &amp; Data'!$B:$H,7,0)</f>
        <v/>
      </c>
      <c r="I101" s="167" t="n"/>
    </row>
    <row r="102" ht="15" customHeight="1" s="350" thickBot="1">
      <c r="A102" s="398" t="n"/>
      <c r="B102" s="132" t="n"/>
      <c r="C102" s="48" t="n"/>
      <c r="D102" s="120" t="n"/>
      <c r="E102" s="120" t="n"/>
      <c r="F102" s="120" t="n"/>
      <c r="G102" s="142" t="n"/>
      <c r="H102" s="142" t="n"/>
      <c r="I102" s="49" t="n"/>
    </row>
    <row r="103" ht="15" customHeight="1" s="350" thickBot="1">
      <c r="A103" s="379" t="n"/>
      <c r="B103" s="15" t="n"/>
      <c r="F103" s="199" t="n"/>
      <c r="H103" s="258" t="n"/>
      <c r="I103" s="50" t="n"/>
    </row>
    <row r="104">
      <c r="A104" s="344" t="inlineStr">
        <is>
          <t>Client Q</t>
        </is>
      </c>
      <c r="B104" s="362" t="inlineStr">
        <is>
          <t>Masked Person 40</t>
        </is>
      </c>
      <c r="C104" s="45" t="inlineStr">
        <is>
          <t>Masked Person 40</t>
        </is>
      </c>
      <c r="D104" s="116">
        <f>VLOOKUP(C104,Master!A:C,3,0)</f>
        <v/>
      </c>
      <c r="E104" s="116" t="n"/>
      <c r="F104" s="240" t="n"/>
      <c r="G104" s="134" t="n"/>
      <c r="H104" s="134">
        <f>VLOOKUP(C104,'[3]AI &amp; Data'!$B:$H,7,0)</f>
        <v/>
      </c>
      <c r="I104" s="46" t="n"/>
    </row>
    <row r="105">
      <c r="A105" s="396" t="n"/>
      <c r="B105" s="50" t="n"/>
      <c r="C105" s="178" t="inlineStr">
        <is>
          <t>Masked Person 26</t>
        </is>
      </c>
      <c r="D105" s="349">
        <f>VLOOKUP(C105,Master!A:C,3,0)</f>
        <v/>
      </c>
      <c r="E105" s="161" t="n">
        <v>46239</v>
      </c>
      <c r="F105" s="161" t="inlineStr">
        <is>
          <t>31 Sept 26</t>
        </is>
      </c>
      <c r="G105" s="162" t="n">
        <v>0.2</v>
      </c>
      <c r="H105" s="130">
        <f>VLOOKUP(C105,'[3]AI &amp; Data'!$B:$H,7,0)</f>
        <v/>
      </c>
      <c r="I105" s="168" t="inlineStr">
        <is>
          <t>Client Q: 40% Aug 26, 20% Sep 26</t>
        </is>
      </c>
    </row>
    <row r="106" ht="15" customHeight="1" s="350" thickBot="1">
      <c r="A106" s="397" t="n"/>
      <c r="B106" s="132" t="n"/>
      <c r="C106" s="179" t="n"/>
      <c r="D106" s="347" t="n"/>
      <c r="E106" s="210" t="n"/>
      <c r="F106" s="210" t="n"/>
      <c r="G106" s="211" t="n"/>
      <c r="H106" s="142" t="n"/>
      <c r="I106" s="241" t="n"/>
    </row>
    <row r="107" ht="15" customHeight="1" s="350" thickBot="1">
      <c r="A107" s="220" t="n"/>
      <c r="B107" s="201" t="n"/>
      <c r="C107" s="221" t="n"/>
      <c r="E107" s="202" t="n"/>
      <c r="F107" s="202" t="n"/>
      <c r="H107" s="258" t="n"/>
      <c r="I107" s="23" t="n"/>
    </row>
    <row r="108">
      <c r="A108" s="344" t="inlineStr">
        <is>
          <t>Client E</t>
        </is>
      </c>
      <c r="B108" s="365" t="inlineStr">
        <is>
          <t>Masked Person 13</t>
        </is>
      </c>
      <c r="C108" s="45" t="inlineStr">
        <is>
          <t>Masked Person 13</t>
        </is>
      </c>
      <c r="D108" s="346">
        <f>VLOOKUP(C108,Master!A:C,3,0)</f>
        <v/>
      </c>
      <c r="E108" s="346" t="n"/>
      <c r="F108" s="136" t="n">
        <v>46296</v>
      </c>
      <c r="G108" s="137" t="n">
        <v>0.2</v>
      </c>
      <c r="H108" s="134">
        <f>VLOOKUP(C108,'[3]AI &amp; Data'!$B:$H,7,0)</f>
        <v/>
      </c>
      <c r="I108" s="222" t="n"/>
    </row>
    <row r="109">
      <c r="A109" s="396" t="n"/>
      <c r="B109" s="50" t="n"/>
      <c r="C109" s="44" t="inlineStr">
        <is>
          <t>Masked Person 17</t>
        </is>
      </c>
      <c r="D109" s="349">
        <f>VLOOKUP(C109,Master!A:C,3,0)</f>
        <v/>
      </c>
      <c r="E109" s="349" t="n"/>
      <c r="F109" s="161" t="n">
        <v>46321</v>
      </c>
      <c r="G109" s="162" t="n">
        <v>0.2</v>
      </c>
      <c r="H109" s="130">
        <f>VLOOKUP(C109,'[3]AI &amp; Data'!$B:$H,7,0)</f>
        <v/>
      </c>
      <c r="I109" s="248" t="n"/>
    </row>
    <row r="110" ht="58" customHeight="1" s="350">
      <c r="A110" s="396" t="n"/>
      <c r="B110" s="50" t="n"/>
      <c r="C110" s="159" t="inlineStr">
        <is>
          <t>Masked Person 18</t>
        </is>
      </c>
      <c r="D110" s="372">
        <f>VLOOKUP(C110,Master!A:C,3,0)</f>
        <v/>
      </c>
      <c r="E110" s="372" t="n"/>
      <c r="F110" s="246" t="n">
        <v>46273</v>
      </c>
      <c r="G110" s="247" t="n">
        <v>0.5</v>
      </c>
      <c r="H110" s="162">
        <f>VLOOKUP(C110,'[3]AI &amp; Data'!$B:$H,7,0)</f>
        <v/>
      </c>
      <c r="I110" s="208" t="inlineStr">
        <is>
          <t xml:space="preserve">Client E : 50% till end of Aug then 100% till end of Oct. Client E Maintenance may get extended (High Probability) 
Submitted for Project C2 Investigation assist, expecting to start work from Oct2026
9sept26 to 26Oct26, 100% </t>
        </is>
      </c>
    </row>
    <row r="111">
      <c r="A111" s="396" t="n"/>
      <c r="B111" s="50" t="n"/>
      <c r="C111" s="159" t="inlineStr">
        <is>
          <t>Masked Person 5</t>
        </is>
      </c>
      <c r="D111" s="349">
        <f>VLOOKUP(C111,Master!A:C,3,0)</f>
        <v/>
      </c>
      <c r="E111" s="191" t="n">
        <v>46279</v>
      </c>
      <c r="F111" s="191" t="n">
        <v>46339</v>
      </c>
      <c r="G111" s="192" t="n">
        <v>1</v>
      </c>
      <c r="H111" s="130">
        <f>VLOOKUP(C111,'[3]AI &amp; Data'!$B:$H,7,0)</f>
        <v/>
      </c>
      <c r="I111" s="208" t="inlineStr">
        <is>
          <t xml:space="preserve">This is a soft booking for CR. Will be able to confirm in two weeks’ time. </t>
        </is>
      </c>
    </row>
    <row r="112" ht="29" customHeight="1" s="350">
      <c r="A112" s="396" t="n"/>
      <c r="B112" s="50" t="n"/>
      <c r="C112" s="225" t="inlineStr">
        <is>
          <t>Masked Person 39</t>
        </is>
      </c>
      <c r="D112" s="325">
        <f>VLOOKUP(C112,Master!A:C,3,0)</f>
        <v/>
      </c>
      <c r="E112" s="325" t="n">
        <v>46251</v>
      </c>
      <c r="F112" s="326" t="n">
        <v>46273</v>
      </c>
      <c r="G112" s="327" t="n">
        <v>1</v>
      </c>
      <c r="H112" s="130">
        <f>VLOOKUP(C112,'[3]AI &amp; Data'!$B:$H,7,0)</f>
        <v/>
      </c>
      <c r="I112" s="208" t="inlineStr">
        <is>
          <t xml:space="preserve">Will extend after the maintenance contract has been extended. Extend till ? 40% - Client E
9sept26 to 26Oct26, 40% </t>
        </is>
      </c>
    </row>
    <row r="113" ht="15" customHeight="1" s="350" thickBot="1">
      <c r="A113" s="397" t="n"/>
      <c r="B113" s="132" t="n"/>
      <c r="C113" s="179" t="n"/>
      <c r="D113" s="347" t="n"/>
      <c r="E113" s="210" t="n"/>
      <c r="F113" s="210" t="n"/>
      <c r="G113" s="211" t="n"/>
      <c r="H113" s="142" t="n"/>
      <c r="I113" s="170" t="n"/>
    </row>
    <row r="114" ht="15" customHeight="1" s="350" thickBot="1">
      <c r="A114" s="264" t="n"/>
      <c r="B114" s="265" t="n"/>
      <c r="C114" s="50" t="n"/>
      <c r="D114" s="102" t="n"/>
      <c r="E114" s="102" t="n"/>
      <c r="F114" s="250" t="n"/>
      <c r="G114" s="251" t="n"/>
      <c r="H114" s="258" t="n"/>
      <c r="I114" s="266" t="n"/>
    </row>
    <row r="115">
      <c r="A115" s="344" t="inlineStr">
        <is>
          <t>Client G</t>
        </is>
      </c>
      <c r="B115" s="346" t="inlineStr">
        <is>
          <t>Masked Person 37</t>
        </is>
      </c>
      <c r="C115" s="45" t="inlineStr">
        <is>
          <t>Masked Person 37</t>
        </is>
      </c>
      <c r="D115" s="116">
        <f>VLOOKUP(C115,Master!A:C,3,0)</f>
        <v/>
      </c>
      <c r="E115" s="107" t="n"/>
      <c r="F115" s="118" t="n">
        <v>46387</v>
      </c>
      <c r="G115" s="134" t="n">
        <v>0.25</v>
      </c>
      <c r="H115" s="134">
        <f>VLOOKUP(C115,'[3]AI &amp; Data'!$B:$H,7,0)</f>
        <v/>
      </c>
      <c r="I115" s="46" t="n"/>
    </row>
    <row r="116">
      <c r="A116" s="396" t="n"/>
      <c r="B116" s="50" t="n"/>
      <c r="C116" s="44" t="inlineStr">
        <is>
          <t>Masked Person 4</t>
        </is>
      </c>
      <c r="D116" s="107">
        <f>VLOOKUP(C116,Master!A:C,3,0)</f>
        <v/>
      </c>
      <c r="F116" s="129" t="n">
        <v>46387</v>
      </c>
      <c r="G116" s="130" t="n">
        <v>1</v>
      </c>
      <c r="H116" s="130">
        <f>VLOOKUP(C116,'[3]AI &amp; Data'!$B:$H,7,0)</f>
        <v/>
      </c>
      <c r="I116" s="47" t="n"/>
    </row>
    <row r="117">
      <c r="A117" s="396" t="n"/>
      <c r="B117" s="50" t="n"/>
      <c r="C117" s="44" t="inlineStr">
        <is>
          <t>Masked Person 66</t>
        </is>
      </c>
      <c r="D117" s="107">
        <f>VLOOKUP(C117,Master!A:C,3,0)</f>
        <v/>
      </c>
      <c r="E117" s="107" t="n"/>
      <c r="F117" s="129" t="n">
        <v>46387</v>
      </c>
      <c r="G117" s="130" t="n">
        <v>1</v>
      </c>
      <c r="H117" s="130">
        <f>VLOOKUP(C117,'[3]AI &amp; Data'!$B:$H,7,0)</f>
        <v/>
      </c>
      <c r="I117" s="47" t="n"/>
    </row>
    <row r="118">
      <c r="A118" s="396" t="n"/>
      <c r="B118" s="50" t="n"/>
      <c r="C118" s="44" t="inlineStr">
        <is>
          <t>Masked Person 92</t>
        </is>
      </c>
      <c r="D118" s="107">
        <f>VLOOKUP(C118,Master!A:C,3,0)</f>
        <v/>
      </c>
      <c r="E118" s="107" t="n"/>
      <c r="F118" s="129" t="n">
        <v>46387</v>
      </c>
      <c r="G118" s="130" t="n">
        <v>1</v>
      </c>
      <c r="H118" s="130">
        <f>VLOOKUP(C118,'[3]AI &amp; Data'!$B:$H,7,0)</f>
        <v/>
      </c>
      <c r="I118" s="47" t="n"/>
    </row>
    <row r="119" ht="15" customHeight="1" s="350" thickBot="1">
      <c r="A119" s="397" t="n"/>
      <c r="B119" s="132" t="n"/>
      <c r="C119" s="179" t="n"/>
      <c r="D119" s="347" t="n"/>
      <c r="E119" s="210" t="n"/>
      <c r="F119" s="210" t="n"/>
      <c r="G119" s="211" t="n"/>
      <c r="H119" s="142" t="n"/>
      <c r="I119" s="170" t="n"/>
    </row>
    <row r="120" ht="15" customHeight="1" s="350" thickBot="1">
      <c r="A120" s="264" t="n"/>
      <c r="B120" s="265" t="n"/>
      <c r="C120" s="50" t="n"/>
      <c r="D120" s="102" t="n"/>
      <c r="E120" s="102" t="n"/>
      <c r="F120" s="102" t="n"/>
      <c r="G120" s="251" t="n"/>
      <c r="H120" s="258" t="n"/>
      <c r="I120" s="104" t="n"/>
    </row>
    <row r="121">
      <c r="A121" s="398" t="inlineStr">
        <is>
          <t>Client T</t>
        </is>
      </c>
      <c r="B121" s="346" t="inlineStr">
        <is>
          <t>Masked Person 37</t>
        </is>
      </c>
      <c r="C121" s="226" t="inlineStr">
        <is>
          <t>Masked Person 37</t>
        </is>
      </c>
      <c r="D121" s="371">
        <f>VLOOKUP(C121,Master!A:C,3,0)</f>
        <v/>
      </c>
      <c r="E121" s="227" t="n"/>
      <c r="F121" s="227" t="n"/>
      <c r="G121" s="234" t="n">
        <v>0.2</v>
      </c>
      <c r="H121" s="134">
        <f>VLOOKUP(C121,'[3]AI &amp; Data'!$B:$H,7,0)</f>
        <v/>
      </c>
      <c r="I121" s="228" t="inlineStr">
        <is>
          <t>Oct-Nov26</t>
        </is>
      </c>
    </row>
    <row r="122">
      <c r="A122" s="399" t="n"/>
      <c r="B122" s="50" t="n"/>
      <c r="C122" s="159" t="inlineStr">
        <is>
          <t>Masked Person 6</t>
        </is>
      </c>
      <c r="D122" s="349">
        <f>VLOOKUP(C122,Master!A:C,3,0)</f>
        <v/>
      </c>
      <c r="E122" s="191" t="n">
        <v>46279</v>
      </c>
      <c r="F122" s="191" t="n">
        <v>46387</v>
      </c>
      <c r="G122" s="192" t="n">
        <v>1</v>
      </c>
      <c r="H122" s="130">
        <f>VLOOKUP(C122,'[3]AI &amp; Data'!$B:$H,7,0)</f>
        <v/>
      </c>
      <c r="I122" s="208" t="inlineStr">
        <is>
          <t>100% for Sep &amp; Oct. 50% from Nov26</t>
        </is>
      </c>
    </row>
    <row r="123">
      <c r="A123" s="399" t="n"/>
      <c r="B123" s="50" t="n"/>
      <c r="C123" s="44" t="inlineStr">
        <is>
          <t>Masked Person 4</t>
        </is>
      </c>
      <c r="D123" s="268">
        <f>VLOOKUP(C123,Master!A:C,3,0)</f>
        <v/>
      </c>
      <c r="E123" s="129" t="n">
        <v>46327</v>
      </c>
      <c r="F123" s="129" t="n">
        <v>46419</v>
      </c>
      <c r="G123" s="130" t="n">
        <v>1</v>
      </c>
      <c r="H123" s="130">
        <f>VLOOKUP(C123,'[3]AI &amp; Data'!$B:$H,7,0)</f>
        <v/>
      </c>
      <c r="I123" s="47" t="n"/>
    </row>
    <row r="124" ht="15" customHeight="1" s="350" thickBot="1">
      <c r="A124" s="398" t="n"/>
      <c r="B124" s="132" t="n"/>
      <c r="C124" s="179" t="n"/>
      <c r="D124" s="347" t="n"/>
      <c r="E124" s="210" t="n"/>
      <c r="F124" s="210" t="n"/>
      <c r="G124" s="211" t="n"/>
      <c r="H124" s="142" t="n"/>
      <c r="I124" s="170" t="n"/>
    </row>
    <row r="125" ht="15" customHeight="1" s="350" thickBot="1">
      <c r="A125" s="379" t="n"/>
      <c r="B125" s="15" t="n"/>
      <c r="F125" s="199" t="n"/>
      <c r="H125" s="258" t="n"/>
      <c r="I125" s="104" t="n"/>
    </row>
    <row r="126">
      <c r="A126" s="344" t="inlineStr">
        <is>
          <t>Client M</t>
        </is>
      </c>
      <c r="B126" s="346" t="inlineStr">
        <is>
          <t>Masked Person 40</t>
        </is>
      </c>
      <c r="C126" s="45" t="inlineStr">
        <is>
          <t>Masked Person 91</t>
        </is>
      </c>
      <c r="D126" s="116">
        <f>VLOOKUP(C126,Master!A:C,3,0)</f>
        <v/>
      </c>
      <c r="E126" s="118" t="n">
        <v>46125</v>
      </c>
      <c r="F126" s="118" t="n">
        <v>46489</v>
      </c>
      <c r="G126" s="134" t="n">
        <v>1</v>
      </c>
      <c r="H126" s="134">
        <f>VLOOKUP(C126,'[3]AI &amp; Data'!$B:$H,7,0)</f>
        <v/>
      </c>
      <c r="I126" s="46" t="n"/>
    </row>
    <row r="127" ht="15" customHeight="1" s="350" thickBot="1">
      <c r="A127" s="397" t="n"/>
      <c r="B127" s="132" t="n"/>
      <c r="C127" s="179" t="n"/>
      <c r="D127" s="347" t="n"/>
      <c r="E127" s="210" t="n"/>
      <c r="F127" s="210" t="n"/>
      <c r="G127" s="211" t="n"/>
      <c r="H127" s="142" t="n"/>
      <c r="I127" s="170" t="n"/>
    </row>
    <row r="128" ht="15" customHeight="1" s="350" thickBot="1">
      <c r="A128" s="379" t="n"/>
      <c r="B128" s="15" t="n"/>
      <c r="F128" s="199" t="n"/>
      <c r="H128" s="258" t="n"/>
      <c r="I128" s="104" t="n"/>
    </row>
    <row r="129">
      <c r="A129" s="338" t="inlineStr">
        <is>
          <t>Client L</t>
        </is>
      </c>
      <c r="B129" s="341" t="inlineStr">
        <is>
          <t>Masked Person 65</t>
        </is>
      </c>
      <c r="C129" s="328" t="inlineStr">
        <is>
          <t>Masked Person 32</t>
        </is>
      </c>
      <c r="D129" s="329">
        <f>VLOOKUP(C129,Master!A:C,3,0)</f>
        <v/>
      </c>
      <c r="E129" s="329" t="n"/>
      <c r="F129" s="306" t="n">
        <v>46273</v>
      </c>
      <c r="G129" s="307" t="n">
        <v>1</v>
      </c>
      <c r="H129" s="307">
        <f>VLOOKUP(C129,'[3]AI &amp; Data'!$B:$H,7,0)</f>
        <v/>
      </c>
      <c r="I129" s="330" t="inlineStr">
        <is>
          <t>Released from Client L</t>
        </is>
      </c>
    </row>
    <row r="130">
      <c r="A130" s="396" t="n"/>
      <c r="B130" s="50" t="n"/>
      <c r="C130" s="308" t="inlineStr">
        <is>
          <t>Masked Person 6</t>
        </is>
      </c>
      <c r="D130" s="312">
        <f>VLOOKUP(C130,Master!A:C,3,0)</f>
        <v/>
      </c>
      <c r="E130" s="312" t="n"/>
      <c r="F130" s="309" t="n">
        <v>46273</v>
      </c>
      <c r="G130" s="310" t="n">
        <v>1</v>
      </c>
      <c r="H130" s="310">
        <f>VLOOKUP(C130,'[3]AI &amp; Data'!$B:$H,7,0)</f>
        <v/>
      </c>
      <c r="I130" s="331" t="inlineStr">
        <is>
          <t>Released from Client L</t>
        </is>
      </c>
    </row>
    <row r="131" ht="15" customHeight="1" s="350" thickBot="1">
      <c r="A131" s="397" t="n"/>
      <c r="B131" s="132" t="n"/>
      <c r="C131" s="332" t="n"/>
      <c r="D131" s="333" t="n"/>
      <c r="E131" s="333" t="n"/>
      <c r="F131" s="334" t="n"/>
      <c r="G131" s="335" t="n"/>
      <c r="H131" s="335" t="n"/>
      <c r="I131" s="336" t="n"/>
    </row>
    <row r="132" ht="15" customHeight="1" s="350" thickBot="1">
      <c r="A132" s="379" t="n"/>
      <c r="B132" s="15" t="n"/>
      <c r="F132" s="199" t="n"/>
      <c r="H132" s="258" t="n"/>
      <c r="I132" s="104" t="n"/>
    </row>
    <row r="133">
      <c r="A133" s="344" t="inlineStr">
        <is>
          <t>Client K</t>
        </is>
      </c>
      <c r="B133" s="346" t="inlineStr">
        <is>
          <t>Masked Person 58</t>
        </is>
      </c>
      <c r="C133" s="45" t="inlineStr">
        <is>
          <t>Masked Person 57</t>
        </is>
      </c>
      <c r="D133" s="116">
        <f>VLOOKUP(C133,Master!A:C,3,0)</f>
        <v/>
      </c>
      <c r="E133" s="118" t="n"/>
      <c r="F133" s="118" t="n">
        <v>46478</v>
      </c>
      <c r="G133" s="134" t="n">
        <v>1</v>
      </c>
      <c r="H133" s="134">
        <f>VLOOKUP(C133,'[3]AI &amp; Data'!$B:$H,7,0)</f>
        <v/>
      </c>
      <c r="I133" s="46" t="n"/>
    </row>
    <row r="134" ht="15" customHeight="1" s="350" thickBot="1">
      <c r="A134" s="397" t="n"/>
      <c r="B134" s="132" t="n"/>
      <c r="C134" s="48" t="n"/>
      <c r="D134" s="48" t="n"/>
      <c r="E134" s="48" t="n"/>
      <c r="F134" s="48" t="n"/>
      <c r="G134" s="48" t="n"/>
      <c r="H134" s="48" t="n"/>
      <c r="I134" s="49" t="n"/>
    </row>
    <row r="135"/>
    <row r="136"/>
    <row r="137">
      <c r="A137" s="25" t="n"/>
    </row>
  </sheetData>
  <mergeCells count="39">
    <mergeCell ref="A16:A26"/>
    <mergeCell ref="B121:B124"/>
    <mergeCell ref="B2:B14"/>
    <mergeCell ref="A60:A65"/>
    <mergeCell ref="A67:A72"/>
    <mergeCell ref="B129:B131"/>
    <mergeCell ref="A133:A134"/>
    <mergeCell ref="A115:A119"/>
    <mergeCell ref="A74:A77"/>
    <mergeCell ref="B104:B106"/>
    <mergeCell ref="A126:A127"/>
    <mergeCell ref="A2:A14"/>
    <mergeCell ref="B42:B47"/>
    <mergeCell ref="B54:B58"/>
    <mergeCell ref="A108:A113"/>
    <mergeCell ref="B28:B40"/>
    <mergeCell ref="B67:B72"/>
    <mergeCell ref="B79:B85"/>
    <mergeCell ref="B115:B119"/>
    <mergeCell ref="A87:A96"/>
    <mergeCell ref="B60:B65"/>
    <mergeCell ref="B74:B77"/>
    <mergeCell ref="A79:A85"/>
    <mergeCell ref="A98:A102"/>
    <mergeCell ref="B133:B134"/>
    <mergeCell ref="A28:A40"/>
    <mergeCell ref="B49:B52"/>
    <mergeCell ref="A54:A58"/>
    <mergeCell ref="I67:I72"/>
    <mergeCell ref="A42:A47"/>
    <mergeCell ref="B126:B127"/>
    <mergeCell ref="B87:B96"/>
    <mergeCell ref="B108:B113"/>
    <mergeCell ref="A121:A124"/>
    <mergeCell ref="B16:B26"/>
    <mergeCell ref="A104:A106"/>
    <mergeCell ref="B98:B102"/>
    <mergeCell ref="A129:A131"/>
    <mergeCell ref="A49:A5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I39"/>
  <sheetViews>
    <sheetView showGridLines="0" zoomScaleNormal="100" workbookViewId="0">
      <pane ySplit="1" topLeftCell="A2" activePane="bottomLeft" state="frozen"/>
      <selection pane="bottomLeft" activeCell="D20" sqref="D20"/>
    </sheetView>
  </sheetViews>
  <sheetFormatPr baseColWidth="8" defaultRowHeight="14.5"/>
  <cols>
    <col width="18.54296875" customWidth="1" style="350" min="1" max="1"/>
    <col width="17" bestFit="1" customWidth="1" style="350" min="2" max="2"/>
    <col width="21.54296875" bestFit="1" customWidth="1" style="350" min="3" max="3"/>
    <col width="23.1796875" customWidth="1" style="350" min="4" max="4"/>
    <col width="46.453125" customWidth="1" style="350" min="5" max="5"/>
    <col width="14.26953125" customWidth="1" style="350" min="6" max="6"/>
    <col width="18" customWidth="1" style="30" min="7" max="7"/>
    <col width="29.26953125" customWidth="1" style="350" min="8" max="8"/>
    <col width="33.453125" customWidth="1" style="350" min="9" max="9"/>
    <col width="21.54296875" bestFit="1" customWidth="1" style="350" min="10" max="10"/>
    <col width="33.453125" bestFit="1" customWidth="1" style="350" min="11" max="11"/>
    <col width="4.453125" bestFit="1" customWidth="1" style="350" min="12" max="12"/>
    <col width="5.453125" bestFit="1" customWidth="1" style="350" min="13" max="13"/>
  </cols>
  <sheetData>
    <row r="1" ht="31" customHeight="1" s="350" thickBot="1">
      <c r="A1" s="99" t="inlineStr">
        <is>
          <t>BD Name</t>
        </is>
      </c>
      <c r="B1" s="99" t="inlineStr">
        <is>
          <t>Engagement Manager</t>
        </is>
      </c>
      <c r="C1" s="100" t="inlineStr">
        <is>
          <t>Resource</t>
        </is>
      </c>
      <c r="D1" s="100" t="inlineStr">
        <is>
          <t>Current Grade</t>
        </is>
      </c>
      <c r="E1" s="100" t="inlineStr">
        <is>
          <t>Supporting BD</t>
        </is>
      </c>
      <c r="F1" s="100" t="inlineStr">
        <is>
          <t>End Date</t>
        </is>
      </c>
      <c r="G1" s="140" t="inlineStr">
        <is>
          <t>Utilization %</t>
        </is>
      </c>
      <c r="H1" s="101" t="inlineStr">
        <is>
          <t>Remarks</t>
        </is>
      </c>
    </row>
    <row r="2" customFormat="1" s="23">
      <c r="A2" s="23" t="inlineStr">
        <is>
          <t>Client R</t>
        </is>
      </c>
      <c r="B2" t="inlineStr">
        <is>
          <t>Masked Person 16</t>
        </is>
      </c>
      <c r="C2" s="171" t="inlineStr">
        <is>
          <t>Masked Person 12</t>
        </is>
      </c>
      <c r="D2" s="107">
        <f>VLOOKUP(C2,Master!A:C,3,0)</f>
        <v/>
      </c>
      <c r="E2" s="173" t="inlineStr">
        <is>
          <t>Client V</t>
        </is>
      </c>
      <c r="F2" s="365" t="n"/>
      <c r="G2" s="181" t="n"/>
      <c r="H2" s="404" t="inlineStr">
        <is>
          <t>BD/BQ</t>
        </is>
      </c>
    </row>
    <row r="3" customFormat="1" s="23">
      <c r="B3" s="318" t="n"/>
      <c r="C3" s="166" t="n"/>
      <c r="D3" s="166" t="n"/>
      <c r="E3" s="197" t="inlineStr">
        <is>
          <t>Client U</t>
        </is>
      </c>
      <c r="F3" s="166" t="n"/>
      <c r="G3" s="175" t="n"/>
      <c r="H3" s="104" t="n"/>
      <c r="I3" s="23" t="inlineStr">
        <is>
          <t>Masked Person 35</t>
        </is>
      </c>
    </row>
    <row r="4" customFormat="1" s="23">
      <c r="B4" s="318" t="n"/>
      <c r="C4" s="166" t="n"/>
      <c r="D4" s="166" t="n"/>
      <c r="E4" s="44" t="inlineStr">
        <is>
          <t>Client X</t>
        </is>
      </c>
      <c r="F4" s="166" t="n"/>
      <c r="G4" s="175" t="n"/>
      <c r="H4" s="104" t="n"/>
    </row>
    <row r="5" ht="15" customFormat="1" customHeight="1" s="23" thickBot="1">
      <c r="B5" s="318" t="n"/>
      <c r="C5" s="169" t="n"/>
      <c r="D5" s="169" t="n"/>
      <c r="E5" s="48" t="inlineStr">
        <is>
          <t>Client Y</t>
        </is>
      </c>
      <c r="F5" s="169" t="n"/>
      <c r="G5" s="176" t="n"/>
      <c r="H5" s="207" t="n"/>
    </row>
    <row r="6" customFormat="1" s="23">
      <c r="B6" s="318" t="n"/>
      <c r="C6" s="173" t="n"/>
      <c r="D6" s="173" t="n"/>
      <c r="E6" s="196" t="inlineStr">
        <is>
          <t>Client W</t>
        </is>
      </c>
      <c r="F6" s="173" t="n"/>
      <c r="G6" s="174" t="n"/>
      <c r="H6" s="404" t="inlineStr">
        <is>
          <t>RFQ/BQ</t>
        </is>
      </c>
    </row>
    <row r="7" customFormat="1" s="23">
      <c r="B7" s="318" t="n"/>
      <c r="C7" s="166" t="n"/>
      <c r="D7" s="166" t="n"/>
      <c r="E7" s="194" t="inlineStr">
        <is>
          <t>Client R- Ai governance</t>
        </is>
      </c>
      <c r="F7" s="166" t="n"/>
      <c r="G7" s="175" t="n"/>
      <c r="H7" s="104" t="n"/>
    </row>
    <row r="8" ht="15" customFormat="1" customHeight="1" s="23" thickBot="1">
      <c r="B8" s="318" t="n"/>
      <c r="C8" s="169" t="n"/>
      <c r="D8" s="169" t="n"/>
      <c r="E8" s="195" t="inlineStr">
        <is>
          <t>Client R- Vulnerability Management</t>
        </is>
      </c>
      <c r="F8" s="169" t="n"/>
      <c r="G8" s="176" t="n"/>
      <c r="H8" s="207" t="n"/>
    </row>
    <row r="9" customFormat="1" s="23">
      <c r="B9" s="318" t="n"/>
      <c r="C9" s="173" t="n"/>
      <c r="D9" s="173" t="n"/>
      <c r="E9" s="322" t="inlineStr">
        <is>
          <t>Client L (Submitted)</t>
        </is>
      </c>
      <c r="F9" s="173" t="n"/>
      <c r="G9" s="174" t="n"/>
      <c r="H9" s="404" t="inlineStr">
        <is>
          <t>RFPs</t>
        </is>
      </c>
    </row>
    <row r="10" customFormat="1" s="23">
      <c r="B10" s="318" t="n"/>
      <c r="C10" s="166" t="n"/>
      <c r="D10" s="166" t="n"/>
      <c r="E10" s="321" t="inlineStr">
        <is>
          <t>Client Z (Submitted)</t>
        </is>
      </c>
      <c r="F10" s="166" t="n"/>
      <c r="G10" s="175" t="n"/>
      <c r="H10" s="104" t="n"/>
    </row>
    <row r="11" ht="15" customFormat="1" customHeight="1" s="23" thickBot="1">
      <c r="B11" s="318" t="n"/>
      <c r="C11" s="169" t="inlineStr">
        <is>
          <t>Masked Person 90</t>
        </is>
      </c>
      <c r="D11" s="179">
        <f>VLOOKUP($C11,Master!A:C,3,0)</f>
        <v/>
      </c>
      <c r="E11" s="198" t="inlineStr">
        <is>
          <t>Client R</t>
        </is>
      </c>
      <c r="F11" s="185" t="n"/>
      <c r="G11" s="186" t="n"/>
      <c r="H11" s="207" t="n"/>
      <c r="I11" s="23" t="inlineStr">
        <is>
          <t xml:space="preserve">Masked Person 83, Masked Person 15, Masked Person 19 AG, Masked Person 45 </t>
        </is>
      </c>
    </row>
    <row r="12" ht="15" customFormat="1" customHeight="1" s="23" thickBot="1">
      <c r="B12" s="319" t="n"/>
      <c r="C12" s="185" t="n"/>
      <c r="D12" s="185" t="n"/>
      <c r="E12" s="320" t="inlineStr">
        <is>
          <t>Alliance Actions and Follow Ups</t>
        </is>
      </c>
      <c r="F12" s="185" t="n"/>
      <c r="G12" s="186" t="n"/>
      <c r="H12" s="187" t="n"/>
    </row>
    <row r="13" customFormat="1" s="23">
      <c r="B13" s="183" t="n"/>
      <c r="C13" s="164" t="n"/>
      <c r="D13" s="164" t="n"/>
      <c r="E13" s="184" t="n"/>
      <c r="F13" s="164" t="n"/>
      <c r="G13" s="180" t="n"/>
      <c r="H13" s="165" t="n"/>
    </row>
    <row r="14" customFormat="1" s="23">
      <c r="B14" s="171" t="n"/>
      <c r="C14" s="166" t="n"/>
      <c r="D14" s="166" t="n"/>
      <c r="E14" s="166" t="n"/>
      <c r="F14" s="164" t="n"/>
      <c r="G14" s="180" t="n"/>
      <c r="H14" s="167" t="n"/>
    </row>
    <row r="15" ht="15" customFormat="1" customHeight="1" s="23" thickBot="1">
      <c r="B15" s="172" t="n"/>
      <c r="C15" s="169" t="n"/>
      <c r="D15" s="169" t="n"/>
      <c r="E15" s="169" t="n"/>
      <c r="F15" s="169" t="n"/>
      <c r="G15" s="176" t="n"/>
      <c r="H15" s="170" t="n"/>
    </row>
    <row r="16"/>
    <row r="17"/>
    <row r="18"/>
    <row r="19"/>
    <row r="20"/>
    <row r="21"/>
    <row r="22"/>
    <row r="23"/>
    <row r="24"/>
    <row r="25"/>
    <row r="26"/>
    <row r="27"/>
    <row r="28"/>
    <row r="29"/>
    <row r="30"/>
    <row r="31"/>
    <row r="32"/>
    <row r="33"/>
    <row r="34" ht="15" customHeight="1" s="350" thickBot="1"/>
    <row r="35" ht="16" customHeight="1" s="350">
      <c r="B35" s="405" t="inlineStr">
        <is>
          <t>Masked Person 16</t>
        </is>
      </c>
      <c r="C35" s="406" t="n"/>
      <c r="D35" s="103" t="n"/>
    </row>
    <row r="36" ht="32" customHeight="1" s="350">
      <c r="B36" s="242" t="inlineStr">
        <is>
          <t>Utilization Breakdown</t>
        </is>
      </c>
      <c r="C36" s="242" t="inlineStr">
        <is>
          <t>Utilization %</t>
        </is>
      </c>
      <c r="D36" s="242" t="inlineStr">
        <is>
          <t>Details</t>
        </is>
      </c>
    </row>
    <row r="37" ht="48" customHeight="1" s="350">
      <c r="B37" s="242" t="inlineStr">
        <is>
          <t>BDs</t>
        </is>
      </c>
      <c r="C37" s="244" t="n">
        <v>0.5</v>
      </c>
      <c r="D37" s="242" t="inlineStr">
        <is>
          <t>Client R, Client U, Client W, Client O, Client X, Client V, Digital Twin</t>
        </is>
      </c>
    </row>
    <row r="38" ht="48" customHeight="1" s="350">
      <c r="B38" s="242" t="inlineStr">
        <is>
          <t>Client C</t>
        </is>
      </c>
      <c r="C38" s="244" t="n">
        <v>0.1</v>
      </c>
      <c r="D38" s="242" t="inlineStr">
        <is>
          <t>Trainings and Brownbag sessions content and sessions</t>
        </is>
      </c>
    </row>
    <row r="39" ht="16" customHeight="1" s="350">
      <c r="B39" s="242" t="inlineStr">
        <is>
          <t>Alliances</t>
        </is>
      </c>
      <c r="C39" s="244" t="n">
        <v>0.4</v>
      </c>
      <c r="D39" s="243" t="n"/>
    </row>
  </sheetData>
  <mergeCells count="4">
    <mergeCell ref="H9:H11"/>
    <mergeCell ref="H6:H8"/>
    <mergeCell ref="H2:H5"/>
    <mergeCell ref="B35:D35"/>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67"/>
  <sheetViews>
    <sheetView workbookViewId="0">
      <selection activeCell="C2" sqref="C2"/>
    </sheetView>
  </sheetViews>
  <sheetFormatPr baseColWidth="8" defaultRowHeight="14.5"/>
  <cols>
    <col width="24.81640625" bestFit="1" customWidth="1" style="350" min="1" max="1"/>
    <col width="23.1796875" bestFit="1" customWidth="1" style="350" min="2" max="2"/>
    <col width="16.453125" bestFit="1" customWidth="1" style="350" min="3" max="3"/>
  </cols>
  <sheetData>
    <row r="1" ht="15" customHeight="1" s="350" thickBot="1">
      <c r="A1" s="25" t="inlineStr">
        <is>
          <t>Master List</t>
        </is>
      </c>
      <c r="B1" s="100" t="inlineStr">
        <is>
          <t>Resource</t>
        </is>
      </c>
      <c r="C1" s="25" t="inlineStr">
        <is>
          <t>Comparison</t>
        </is>
      </c>
    </row>
    <row r="2">
      <c r="A2" s="25" t="inlineStr">
        <is>
          <t>Masked Person 2</t>
        </is>
      </c>
      <c r="B2" s="45" t="inlineStr">
        <is>
          <t>Masked Person 7</t>
        </is>
      </c>
      <c r="C2">
        <f>VLOOKUP(A2,B:B,1,0)</f>
        <v/>
      </c>
    </row>
    <row r="3">
      <c r="A3" t="inlineStr">
        <is>
          <t>Masked Person 3</t>
        </is>
      </c>
      <c r="B3" s="44" t="inlineStr">
        <is>
          <t>Masked Person 8</t>
        </is>
      </c>
      <c r="C3">
        <f>VLOOKUP(A3,B:B,1,0)</f>
        <v/>
      </c>
    </row>
    <row r="4">
      <c r="A4" t="inlineStr">
        <is>
          <t>Masked Person 4</t>
        </is>
      </c>
      <c r="B4" s="44" t="inlineStr">
        <is>
          <t>Masked Person 49</t>
        </is>
      </c>
      <c r="C4">
        <f>VLOOKUP(A4,B:B,1,0)</f>
        <v/>
      </c>
    </row>
    <row r="5">
      <c r="A5" t="inlineStr">
        <is>
          <t>Masked Person 5</t>
        </is>
      </c>
      <c r="B5" s="44" t="inlineStr">
        <is>
          <t>Masked Person 59</t>
        </is>
      </c>
      <c r="C5">
        <f>VLOOKUP(A5,B:B,1,0)</f>
        <v/>
      </c>
    </row>
    <row r="6">
      <c r="A6" t="inlineStr">
        <is>
          <t>Masked Person 6</t>
        </is>
      </c>
      <c r="B6" s="44" t="inlineStr">
        <is>
          <t>Masked Person 67</t>
        </is>
      </c>
      <c r="C6">
        <f>VLOOKUP(A6,B:B,1,0)</f>
        <v/>
      </c>
    </row>
    <row r="7">
      <c r="A7" t="inlineStr">
        <is>
          <t>Masked Person 7</t>
        </is>
      </c>
      <c r="B7" s="44" t="inlineStr">
        <is>
          <t>Masked Person 79</t>
        </is>
      </c>
      <c r="C7">
        <f>VLOOKUP(A7,B:B,1,0)</f>
        <v/>
      </c>
    </row>
    <row r="8">
      <c r="A8" t="inlineStr">
        <is>
          <t>Masked Person 8</t>
        </is>
      </c>
      <c r="B8" s="44" t="inlineStr">
        <is>
          <t>Masked Person 87</t>
        </is>
      </c>
      <c r="C8">
        <f>VLOOKUP(A8,B:B,1,0)</f>
        <v/>
      </c>
    </row>
    <row r="9">
      <c r="A9" t="inlineStr">
        <is>
          <t>Masked Person 9</t>
        </is>
      </c>
      <c r="B9" s="44" t="inlineStr">
        <is>
          <t>Masked Person 89</t>
        </is>
      </c>
      <c r="C9">
        <f>VLOOKUP(A9,B:B,1,0)</f>
        <v/>
      </c>
    </row>
    <row r="10">
      <c r="A10" t="inlineStr">
        <is>
          <t>Masked Person 10</t>
        </is>
      </c>
      <c r="B10" s="44" t="inlineStr">
        <is>
          <t>Masked Person 93</t>
        </is>
      </c>
      <c r="C10">
        <f>VLOOKUP(A10,B:B,1,0)</f>
        <v/>
      </c>
    </row>
    <row r="11" ht="15" customHeight="1" s="350" thickBot="1">
      <c r="A11" t="inlineStr">
        <is>
          <t>Masked Person 12</t>
        </is>
      </c>
      <c r="B11" s="84" t="inlineStr">
        <is>
          <t>Masked Person 96</t>
        </is>
      </c>
      <c r="C11">
        <f>VLOOKUP(A11,B:B,1,0)</f>
        <v/>
      </c>
    </row>
    <row r="12">
      <c r="A12" t="inlineStr">
        <is>
          <t>Masked Person 15</t>
        </is>
      </c>
      <c r="B12" s="45" t="inlineStr">
        <is>
          <t>Masked Person 3</t>
        </is>
      </c>
      <c r="C12">
        <f>VLOOKUP(A12,B:B,1,0)</f>
        <v/>
      </c>
    </row>
    <row r="13">
      <c r="A13" t="inlineStr">
        <is>
          <t>Masked Person 18</t>
        </is>
      </c>
      <c r="B13" s="44" t="inlineStr">
        <is>
          <t>Masked Person 9</t>
        </is>
      </c>
      <c r="C13">
        <f>VLOOKUP(A13,B:B,1,0)</f>
        <v/>
      </c>
    </row>
    <row r="14">
      <c r="A14" t="inlineStr">
        <is>
          <t>Masked Person 19</t>
        </is>
      </c>
      <c r="B14" s="44" t="inlineStr">
        <is>
          <t>Masked Person 27</t>
        </is>
      </c>
      <c r="C14">
        <f>VLOOKUP(A14,B:B,1,0)</f>
        <v/>
      </c>
    </row>
    <row r="15">
      <c r="A15" t="inlineStr">
        <is>
          <t>Masked Person 20</t>
        </is>
      </c>
      <c r="B15" s="44" t="inlineStr">
        <is>
          <t>Masked Person 28</t>
        </is>
      </c>
      <c r="C15">
        <f>VLOOKUP(A15,B:B,1,0)</f>
        <v/>
      </c>
    </row>
    <row r="16">
      <c r="A16" t="inlineStr">
        <is>
          <t>Masked Person 22</t>
        </is>
      </c>
      <c r="B16" s="44" t="inlineStr">
        <is>
          <t>Masked Person 70</t>
        </is>
      </c>
      <c r="C16">
        <f>VLOOKUP(A16,B:B,1,0)</f>
        <v/>
      </c>
    </row>
    <row r="17">
      <c r="A17" t="inlineStr">
        <is>
          <t>Masked Person 23</t>
        </is>
      </c>
      <c r="B17" s="44" t="inlineStr">
        <is>
          <t>Masked Person 76</t>
        </is>
      </c>
      <c r="C17">
        <f>VLOOKUP(A17,B:B,1,0)</f>
        <v/>
      </c>
    </row>
    <row r="18">
      <c r="A18" t="inlineStr">
        <is>
          <t>Masked Person 25</t>
        </is>
      </c>
      <c r="B18" s="44" t="inlineStr">
        <is>
          <t>Masked Person 80</t>
        </is>
      </c>
      <c r="C18">
        <f>VLOOKUP(A18,B:B,1,0)</f>
        <v/>
      </c>
    </row>
    <row r="19">
      <c r="A19" t="inlineStr">
        <is>
          <t>Masked Person 26</t>
        </is>
      </c>
      <c r="B19" s="44" t="inlineStr">
        <is>
          <t>Masked Person 18</t>
        </is>
      </c>
      <c r="C19">
        <f>VLOOKUP(A19,B:B,1,0)</f>
        <v/>
      </c>
    </row>
    <row r="20" ht="15" customHeight="1" s="350" thickBot="1">
      <c r="A20" t="inlineStr">
        <is>
          <t>Masked Person 27</t>
        </is>
      </c>
      <c r="B20" s="44" t="inlineStr">
        <is>
          <t>Masked Person 78</t>
        </is>
      </c>
      <c r="C20">
        <f>VLOOKUP(A20,B:B,1,0)</f>
        <v/>
      </c>
    </row>
    <row r="21">
      <c r="A21" t="inlineStr">
        <is>
          <t>Masked Person 28</t>
        </is>
      </c>
      <c r="B21" s="45" t="inlineStr">
        <is>
          <t>Masked Person 10</t>
        </is>
      </c>
      <c r="C21">
        <f>VLOOKUP(A21,B:B,1,0)</f>
        <v/>
      </c>
    </row>
    <row r="22">
      <c r="A22" t="inlineStr">
        <is>
          <t>Masked Person 30</t>
        </is>
      </c>
      <c r="B22" s="44" t="inlineStr">
        <is>
          <t>Masked Person 20</t>
        </is>
      </c>
      <c r="C22">
        <f>VLOOKUP(A22,B:B,1,0)</f>
        <v/>
      </c>
    </row>
    <row r="23">
      <c r="A23" t="inlineStr">
        <is>
          <t>Masked Person 31</t>
        </is>
      </c>
      <c r="B23" s="44" t="inlineStr">
        <is>
          <t>Masked Person 31</t>
        </is>
      </c>
      <c r="C23">
        <f>VLOOKUP(A23,B:B,1,0)</f>
        <v/>
      </c>
    </row>
    <row r="24">
      <c r="A24" t="inlineStr">
        <is>
          <t>Masked Person 32</t>
        </is>
      </c>
      <c r="B24" s="44" t="inlineStr">
        <is>
          <t>Masked Person 33</t>
        </is>
      </c>
      <c r="C24">
        <f>VLOOKUP(A24,B:B,1,0)</f>
        <v/>
      </c>
    </row>
    <row r="25">
      <c r="A25" s="25" t="inlineStr">
        <is>
          <t>Masked Person 33</t>
        </is>
      </c>
      <c r="B25" s="44" t="inlineStr">
        <is>
          <t>Masked Person 46</t>
        </is>
      </c>
      <c r="C25">
        <f>VLOOKUP(A25,B:B,1,0)</f>
        <v/>
      </c>
    </row>
    <row r="26">
      <c r="A26" t="inlineStr">
        <is>
          <t>Masked Person 34</t>
        </is>
      </c>
      <c r="B26" s="44" t="inlineStr">
        <is>
          <t>Masked Person 53</t>
        </is>
      </c>
      <c r="C26">
        <f>VLOOKUP(A26,B:B,1,0)</f>
        <v/>
      </c>
    </row>
    <row r="27">
      <c r="A27" t="inlineStr">
        <is>
          <t>Masked Person 35</t>
        </is>
      </c>
      <c r="B27" s="44" t="inlineStr">
        <is>
          <t>Masked Person 63</t>
        </is>
      </c>
      <c r="C27">
        <f>VLOOKUP(A27,B:B,1,0)</f>
        <v/>
      </c>
    </row>
    <row r="28">
      <c r="A28" t="inlineStr">
        <is>
          <t>Masked Person 38</t>
        </is>
      </c>
      <c r="B28" s="44" t="inlineStr">
        <is>
          <t>Masked Person 71</t>
        </is>
      </c>
      <c r="C28">
        <f>VLOOKUP(A28,B:B,1,0)</f>
        <v/>
      </c>
    </row>
    <row r="29">
      <c r="A29" t="inlineStr">
        <is>
          <t>Masked Person 39</t>
        </is>
      </c>
      <c r="B29" s="44" t="inlineStr">
        <is>
          <t>Masked Person 81</t>
        </is>
      </c>
      <c r="C29">
        <f>VLOOKUP(A29,B:B,1,0)</f>
        <v/>
      </c>
    </row>
    <row r="30">
      <c r="A30" t="inlineStr">
        <is>
          <t>Masked Person 41</t>
        </is>
      </c>
      <c r="B30" s="44" t="inlineStr">
        <is>
          <t>Masked Person 90</t>
        </is>
      </c>
      <c r="C30">
        <f>VLOOKUP(A30,B:B,1,0)</f>
        <v/>
      </c>
    </row>
    <row r="31">
      <c r="A31" t="inlineStr">
        <is>
          <t>Masked Person 44</t>
        </is>
      </c>
      <c r="B31" s="44" t="inlineStr">
        <is>
          <t>Masked Person 95</t>
        </is>
      </c>
      <c r="C31">
        <f>VLOOKUP(A31,B:B,1,0)</f>
        <v/>
      </c>
    </row>
    <row r="32">
      <c r="A32" t="inlineStr">
        <is>
          <t>Masked Person 45</t>
        </is>
      </c>
      <c r="B32" s="44" t="inlineStr">
        <is>
          <t>Masked Person 22</t>
        </is>
      </c>
      <c r="C32">
        <f>VLOOKUP(A32,B:B,1,0)</f>
        <v/>
      </c>
    </row>
    <row r="33" ht="15" customHeight="1" s="350" thickBot="1">
      <c r="A33" t="inlineStr">
        <is>
          <t>Masked Person 46</t>
        </is>
      </c>
      <c r="B33" s="84" t="inlineStr">
        <is>
          <t>Masked Person 41</t>
        </is>
      </c>
      <c r="C33">
        <f>VLOOKUP(A33,B:B,1,0)</f>
        <v/>
      </c>
    </row>
    <row r="34">
      <c r="A34" t="inlineStr">
        <is>
          <t>Masked Person 47</t>
        </is>
      </c>
      <c r="B34" s="45" t="inlineStr">
        <is>
          <t>Masked Person 73</t>
        </is>
      </c>
      <c r="C34">
        <f>VLOOKUP(A34,B:B,1,0)</f>
        <v/>
      </c>
    </row>
    <row r="35">
      <c r="A35" t="inlineStr">
        <is>
          <t>Masked Person 49</t>
        </is>
      </c>
      <c r="B35" s="44" t="inlineStr">
        <is>
          <t>Masked Person 34</t>
        </is>
      </c>
      <c r="C35">
        <f>VLOOKUP(A35,B:B,1,0)</f>
        <v/>
      </c>
    </row>
    <row r="36">
      <c r="A36" t="inlineStr">
        <is>
          <t>Masked Person 50</t>
        </is>
      </c>
      <c r="B36" s="44" t="inlineStr">
        <is>
          <t>Masked Person 60</t>
        </is>
      </c>
      <c r="C36">
        <f>VLOOKUP(A36,B:B,1,0)</f>
        <v/>
      </c>
    </row>
    <row r="37" ht="15" customHeight="1" s="350" thickBot="1">
      <c r="A37" t="inlineStr">
        <is>
          <t>Masked Person 52</t>
        </is>
      </c>
      <c r="B37" s="84" t="inlineStr">
        <is>
          <t>Masked Person 64</t>
        </is>
      </c>
      <c r="C37">
        <f>VLOOKUP(A37,B:B,1,0)</f>
        <v/>
      </c>
    </row>
    <row r="38">
      <c r="A38" t="inlineStr">
        <is>
          <t>Masked Person 53</t>
        </is>
      </c>
      <c r="B38" s="45" t="inlineStr">
        <is>
          <t>Masked Person 68</t>
        </is>
      </c>
      <c r="C38">
        <f>VLOOKUP(A38,B:B,1,0)</f>
        <v/>
      </c>
    </row>
    <row r="39">
      <c r="A39" t="inlineStr">
        <is>
          <t>Masked Person 55</t>
        </is>
      </c>
      <c r="B39" s="44" t="inlineStr">
        <is>
          <t>Masked Person 15</t>
        </is>
      </c>
      <c r="C39">
        <f>VLOOKUP(A39,B:B,1,0)</f>
        <v/>
      </c>
    </row>
    <row r="40">
      <c r="A40" t="inlineStr">
        <is>
          <t>Masked Person 57</t>
        </is>
      </c>
      <c r="B40" s="44" t="inlineStr">
        <is>
          <t>Masked Person 19</t>
        </is>
      </c>
      <c r="C40">
        <f>VLOOKUP(A40,B:B,1,0)</f>
        <v/>
      </c>
    </row>
    <row r="41">
      <c r="A41" t="inlineStr">
        <is>
          <t>Masked Person 59</t>
        </is>
      </c>
      <c r="B41" s="44" t="inlineStr">
        <is>
          <t>Masked Person 25</t>
        </is>
      </c>
      <c r="C41">
        <f>VLOOKUP(A41,B:B,1,0)</f>
        <v/>
      </c>
    </row>
    <row r="42" ht="15" customHeight="1" s="350" thickBot="1">
      <c r="A42" t="inlineStr">
        <is>
          <t>Masked Person 60</t>
        </is>
      </c>
      <c r="B42" s="84" t="inlineStr">
        <is>
          <t>Masked Person 45</t>
        </is>
      </c>
      <c r="C42">
        <f>VLOOKUP(A42,B:B,1,0)</f>
        <v/>
      </c>
    </row>
    <row r="43">
      <c r="A43" t="inlineStr">
        <is>
          <t>Masked Person 63</t>
        </is>
      </c>
      <c r="B43" s="45" t="inlineStr">
        <is>
          <t>Masked Person 30</t>
        </is>
      </c>
      <c r="C43">
        <f>VLOOKUP(#REF!,B:B,1,0)</f>
        <v/>
      </c>
    </row>
    <row r="44">
      <c r="A44" t="inlineStr">
        <is>
          <t>Masked Person 64</t>
        </is>
      </c>
      <c r="B44" s="44" t="inlineStr">
        <is>
          <t>Masked Person 44</t>
        </is>
      </c>
      <c r="C44">
        <f>VLOOKUP(A43,B:B,1,0)</f>
        <v/>
      </c>
    </row>
    <row r="45">
      <c r="A45" t="inlineStr">
        <is>
          <t>Masked Person 66</t>
        </is>
      </c>
      <c r="B45" s="44" t="inlineStr">
        <is>
          <t>Masked Person 52</t>
        </is>
      </c>
      <c r="C45">
        <f>VLOOKUP(A44,B:B,1,0)</f>
        <v/>
      </c>
    </row>
    <row r="46">
      <c r="A46" t="inlineStr">
        <is>
          <t>Masked Person 67</t>
        </is>
      </c>
      <c r="B46" s="44" t="inlineStr">
        <is>
          <t>Masked Person 55</t>
        </is>
      </c>
      <c r="C46">
        <f>VLOOKUP(A45,B:B,1,0)</f>
        <v/>
      </c>
    </row>
    <row r="47" ht="15" customHeight="1" s="350" thickBot="1">
      <c r="A47" t="inlineStr">
        <is>
          <t>Masked Person 68</t>
        </is>
      </c>
      <c r="B47" s="84" t="inlineStr">
        <is>
          <t>Masked Person 72</t>
        </is>
      </c>
      <c r="C47">
        <f>VLOOKUP(A46,B:B,1,0)</f>
        <v/>
      </c>
    </row>
    <row r="48">
      <c r="A48" t="inlineStr">
        <is>
          <t>Masked Person 70</t>
        </is>
      </c>
      <c r="B48" s="45" t="inlineStr">
        <is>
          <t>Masked Person 38</t>
        </is>
      </c>
      <c r="C48">
        <f>VLOOKUP(A47,B:B,1,0)</f>
        <v/>
      </c>
    </row>
    <row r="49">
      <c r="A49" t="inlineStr">
        <is>
          <t>Masked Person 71</t>
        </is>
      </c>
      <c r="B49" s="44" t="inlineStr">
        <is>
          <t>Masked Person 47</t>
        </is>
      </c>
      <c r="C49">
        <f>VLOOKUP(A48,B:B,1,0)</f>
        <v/>
      </c>
    </row>
    <row r="50">
      <c r="A50" t="inlineStr">
        <is>
          <t>Masked Person 72</t>
        </is>
      </c>
      <c r="B50" s="44" t="inlineStr">
        <is>
          <t>Masked Person 2</t>
        </is>
      </c>
      <c r="C50">
        <f>VLOOKUP(A49,B:B,1,0)</f>
        <v/>
      </c>
    </row>
    <row r="51">
      <c r="A51" t="inlineStr">
        <is>
          <t>Masked Person 73</t>
        </is>
      </c>
      <c r="B51" s="44" t="inlineStr">
        <is>
          <t>Masked Person 4</t>
        </is>
      </c>
      <c r="C51">
        <f>VLOOKUP(A50,B:B,1,0)</f>
        <v/>
      </c>
    </row>
    <row r="52" ht="15" customHeight="1" s="350" thickBot="1">
      <c r="A52" t="inlineStr">
        <is>
          <t>Masked Person 76</t>
        </is>
      </c>
      <c r="B52" s="44" t="inlineStr">
        <is>
          <t>Masked Person 66</t>
        </is>
      </c>
      <c r="C52">
        <f>VLOOKUP(A51,B:B,1,0)</f>
        <v/>
      </c>
    </row>
    <row r="53">
      <c r="A53" t="inlineStr">
        <is>
          <t>Masked Person 78</t>
        </is>
      </c>
      <c r="B53" s="45" t="inlineStr">
        <is>
          <t>Masked Person 92</t>
        </is>
      </c>
      <c r="C53">
        <f>VLOOKUP(A52,B:B,1,0)</f>
        <v/>
      </c>
    </row>
    <row r="54">
      <c r="A54" t="inlineStr">
        <is>
          <t>Masked Person 79</t>
        </is>
      </c>
      <c r="B54" s="159" t="inlineStr">
        <is>
          <t>Masked Person 6</t>
        </is>
      </c>
      <c r="C54">
        <f>VLOOKUP(A53,B:B,1,0)</f>
        <v/>
      </c>
    </row>
    <row r="55">
      <c r="A55" t="inlineStr">
        <is>
          <t>Masked Person 80</t>
        </is>
      </c>
      <c r="B55" s="44" t="inlineStr">
        <is>
          <t>Masked Person 91</t>
        </is>
      </c>
      <c r="C55">
        <f>VLOOKUP(A54,B:B,1,0)</f>
        <v/>
      </c>
    </row>
    <row r="56" ht="15" customHeight="1" s="350" thickBot="1">
      <c r="A56" t="inlineStr">
        <is>
          <t>Masked Person 81</t>
        </is>
      </c>
      <c r="B56" s="84" t="inlineStr">
        <is>
          <t>Masked Person 26</t>
        </is>
      </c>
      <c r="C56">
        <f>VLOOKUP(A55,B:B,1,0)</f>
        <v/>
      </c>
    </row>
    <row r="57">
      <c r="A57" s="25" t="inlineStr">
        <is>
          <t>Masked Person 83</t>
        </is>
      </c>
      <c r="B57" s="45" t="inlineStr">
        <is>
          <t>Masked Person 32</t>
        </is>
      </c>
      <c r="C57">
        <f>VLOOKUP(A56,B:B,1,0)</f>
        <v/>
      </c>
    </row>
    <row r="58">
      <c r="A58" t="inlineStr">
        <is>
          <t>Masked Person 85</t>
        </is>
      </c>
      <c r="B58" s="44" t="inlineStr">
        <is>
          <t>Masked Person 57</t>
        </is>
      </c>
      <c r="C58">
        <f>VLOOKUP(A57,B:B,1,0)</f>
        <v/>
      </c>
    </row>
    <row r="59">
      <c r="A59" t="inlineStr">
        <is>
          <t>Masked Person 87</t>
        </is>
      </c>
      <c r="C59">
        <f>VLOOKUP(A58,B:B,1,0)</f>
        <v/>
      </c>
    </row>
    <row r="60">
      <c r="A60" t="inlineStr">
        <is>
          <t>Masked Person 89</t>
        </is>
      </c>
      <c r="C60">
        <f>VLOOKUP(A59,B:B,1,0)</f>
        <v/>
      </c>
    </row>
    <row r="61">
      <c r="A61" t="inlineStr">
        <is>
          <t>Masked Person 90</t>
        </is>
      </c>
      <c r="C61">
        <f>VLOOKUP(A60,B:B,1,0)</f>
        <v/>
      </c>
    </row>
    <row r="62">
      <c r="A62" t="inlineStr">
        <is>
          <t>Masked Person 91</t>
        </is>
      </c>
      <c r="C62">
        <f>VLOOKUP(A61,B:B,1,0)</f>
        <v/>
      </c>
    </row>
    <row r="63">
      <c r="A63" t="inlineStr">
        <is>
          <t>Masked Person 92</t>
        </is>
      </c>
      <c r="C63">
        <f>VLOOKUP(A62,B:B,1,0)</f>
        <v/>
      </c>
    </row>
    <row r="64">
      <c r="A64" t="inlineStr">
        <is>
          <t>Masked Person 93</t>
        </is>
      </c>
      <c r="C64">
        <f>VLOOKUP(A63,B:B,1,0)</f>
        <v/>
      </c>
    </row>
    <row r="65">
      <c r="A65" t="inlineStr">
        <is>
          <t>Masked Person 95</t>
        </is>
      </c>
      <c r="C65">
        <f>VLOOKUP(A64,B:B,1,0)</f>
        <v/>
      </c>
    </row>
    <row r="66">
      <c r="A66" t="inlineStr">
        <is>
          <t>Masked Person 96</t>
        </is>
      </c>
      <c r="C66">
        <f>VLOOKUP(A65,B:B,1,0)</f>
        <v/>
      </c>
    </row>
    <row r="67">
      <c r="C67">
        <f>VLOOKUP(A66,B:B,1,0)</f>
        <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77"/>
  <sheetViews>
    <sheetView showGridLines="0" zoomScale="59" workbookViewId="0">
      <pane ySplit="1" topLeftCell="A2" activePane="bottomLeft" state="frozen"/>
      <selection pane="bottomLeft" activeCell="E2" sqref="E2"/>
    </sheetView>
  </sheetViews>
  <sheetFormatPr baseColWidth="8" defaultRowHeight="14.5"/>
  <cols>
    <col width="23.1796875" bestFit="1" customWidth="1" style="350" min="1" max="1"/>
    <col width="23.1796875" customWidth="1" style="350" min="2" max="2"/>
    <col width="18" customWidth="1" style="350" min="3" max="4"/>
    <col width="37.54296875" customWidth="1" style="350" min="5" max="5"/>
    <col width="21.54296875" bestFit="1" customWidth="1" style="350" min="7" max="7"/>
    <col width="33.453125" bestFit="1" customWidth="1" style="350" min="8" max="8"/>
    <col width="4.453125" bestFit="1" customWidth="1" style="350" min="9" max="9"/>
    <col width="5.453125" bestFit="1" customWidth="1" style="350" min="10" max="10"/>
  </cols>
  <sheetData>
    <row r="1" ht="31" customHeight="1" s="350" thickBot="1">
      <c r="A1" s="100" t="inlineStr">
        <is>
          <t>Resource</t>
        </is>
      </c>
      <c r="B1" s="100" t="inlineStr">
        <is>
          <t>Current Grade</t>
        </is>
      </c>
      <c r="C1" s="100" t="inlineStr">
        <is>
          <t>Available Start Date</t>
        </is>
      </c>
      <c r="D1" s="100" t="inlineStr">
        <is>
          <t xml:space="preserve"> End Date</t>
        </is>
      </c>
      <c r="E1" s="101" t="inlineStr">
        <is>
          <t>Remarks</t>
        </is>
      </c>
    </row>
    <row r="2" ht="15" customHeight="1" s="350" thickBot="1">
      <c r="A2" s="82" t="inlineStr">
        <is>
          <t>Masked Person 7</t>
        </is>
      </c>
      <c r="B2" s="45">
        <f>VLOOKUP(A2,Master!A:C,3,0)</f>
        <v/>
      </c>
      <c r="C2" s="103" t="n"/>
      <c r="D2" s="45" t="n"/>
      <c r="E2" s="46" t="n"/>
      <c r="J2" s="30" t="n"/>
    </row>
    <row r="3" ht="15" customHeight="1" s="350" thickBot="1">
      <c r="A3" s="83" t="inlineStr">
        <is>
          <t>Masked Person 8</t>
        </is>
      </c>
      <c r="B3" s="45">
        <f>VLOOKUP(A3,Master!A:C,3,0)</f>
        <v/>
      </c>
      <c r="C3" s="86" t="n"/>
      <c r="D3" s="44" t="n"/>
      <c r="E3" s="47" t="n"/>
      <c r="J3" s="30" t="n"/>
    </row>
    <row r="4" ht="15" customHeight="1" s="350" thickBot="1">
      <c r="A4" s="83" t="inlineStr">
        <is>
          <t>Masked Person 49</t>
        </is>
      </c>
      <c r="B4" s="45">
        <f>VLOOKUP(A4,Master!A:C,3,0)</f>
        <v/>
      </c>
      <c r="C4" s="86" t="n"/>
      <c r="D4" s="44" t="n"/>
      <c r="E4" s="47" t="n"/>
    </row>
    <row r="5" ht="15" customHeight="1" s="350" thickBot="1">
      <c r="A5" s="83" t="inlineStr">
        <is>
          <t>Masked Person 59</t>
        </is>
      </c>
      <c r="B5" s="45">
        <f>VLOOKUP(A5,Master!A:C,3,0)</f>
        <v/>
      </c>
      <c r="C5" s="86" t="n"/>
      <c r="D5" s="44" t="n"/>
      <c r="E5" s="47" t="n"/>
    </row>
    <row r="6" ht="15" customHeight="1" s="350" thickBot="1">
      <c r="A6" s="83" t="inlineStr">
        <is>
          <t>Masked Person 67</t>
        </is>
      </c>
      <c r="B6" s="45">
        <f>VLOOKUP(A6,Master!A:C,3,0)</f>
        <v/>
      </c>
      <c r="C6" s="86" t="n"/>
      <c r="D6" s="44" t="n"/>
      <c r="E6" s="47" t="n"/>
    </row>
    <row r="7" ht="15" customHeight="1" s="350" thickBot="1">
      <c r="A7" s="83" t="inlineStr">
        <is>
          <t>Masked Person 76</t>
        </is>
      </c>
      <c r="B7" s="45">
        <f>VLOOKUP(A7,Master!A:C,3,0)</f>
        <v/>
      </c>
      <c r="C7" s="86" t="n"/>
      <c r="D7" s="44" t="n"/>
      <c r="E7" s="47" t="n"/>
    </row>
    <row r="8" ht="15" customHeight="1" s="350" thickBot="1">
      <c r="A8" s="83" t="inlineStr">
        <is>
          <t>Masked Person 79</t>
        </is>
      </c>
      <c r="B8" s="45">
        <f>VLOOKUP(A8,Master!A:C,3,0)</f>
        <v/>
      </c>
      <c r="C8" s="86" t="n"/>
      <c r="D8" s="44" t="n"/>
      <c r="E8" s="47" t="n"/>
    </row>
    <row r="9" ht="15" customHeight="1" s="350" thickBot="1">
      <c r="A9" s="83" t="inlineStr">
        <is>
          <t>Masked Person 87</t>
        </is>
      </c>
      <c r="B9" s="45">
        <f>VLOOKUP(A9,Master!A:C,3,0)</f>
        <v/>
      </c>
      <c r="C9" s="86" t="n"/>
      <c r="D9" s="44" t="n"/>
      <c r="E9" s="47" t="n"/>
    </row>
    <row r="10" ht="15" customHeight="1" s="350" thickBot="1">
      <c r="A10" s="83" t="inlineStr">
        <is>
          <t>Masked Person 89</t>
        </is>
      </c>
      <c r="B10" s="45">
        <f>VLOOKUP(A10,Master!A:C,3,0)</f>
        <v/>
      </c>
      <c r="C10" s="86" t="n"/>
      <c r="D10" s="44" t="n"/>
      <c r="E10" s="47" t="n"/>
    </row>
    <row r="11" ht="15" customHeight="1" s="350" thickBot="1">
      <c r="A11" s="83" t="inlineStr">
        <is>
          <t>Masked Person 93</t>
        </is>
      </c>
      <c r="B11" s="45">
        <f>VLOOKUP(A11,Master!A:C,3,0)</f>
        <v/>
      </c>
      <c r="C11" s="86" t="n"/>
      <c r="D11" s="44" t="n"/>
      <c r="E11" s="47" t="n"/>
    </row>
    <row r="12" ht="15" customHeight="1" s="350" thickBot="1">
      <c r="A12" s="50" t="inlineStr">
        <is>
          <t>Masked Person 96</t>
        </is>
      </c>
      <c r="B12" s="45">
        <f>VLOOKUP(A12,Master!A:C,3,0)</f>
        <v/>
      </c>
      <c r="C12" s="84" t="n"/>
      <c r="D12" s="84" t="n"/>
      <c r="E12" s="85" t="n"/>
    </row>
    <row r="13" ht="29.5" customHeight="1" s="350" thickBot="1">
      <c r="A13" s="45" t="inlineStr">
        <is>
          <t>Masked Person 3</t>
        </is>
      </c>
      <c r="B13" s="45">
        <f>VLOOKUP(A13,Master!A:C,3,0)</f>
        <v/>
      </c>
      <c r="C13" s="45" t="n"/>
      <c r="D13" s="45" t="n"/>
      <c r="E13" s="46" t="n"/>
    </row>
    <row r="14" ht="15" customHeight="1" s="350" thickBot="1">
      <c r="A14" s="44" t="inlineStr">
        <is>
          <t>Masked Person 9</t>
        </is>
      </c>
      <c r="B14" s="45">
        <f>VLOOKUP(A14,Master!A:C,3,0)</f>
        <v/>
      </c>
      <c r="C14" s="44" t="n"/>
      <c r="D14" s="44" t="n"/>
      <c r="E14" s="47" t="n"/>
      <c r="J14" s="30" t="n"/>
    </row>
    <row r="15" ht="15" customHeight="1" s="350" thickBot="1">
      <c r="A15" s="44" t="inlineStr">
        <is>
          <t>Masked Person 27</t>
        </is>
      </c>
      <c r="B15" s="45">
        <f>VLOOKUP(A15,Master!A:C,3,0)</f>
        <v/>
      </c>
      <c r="C15" s="44" t="n"/>
      <c r="D15" s="44" t="n"/>
      <c r="E15" s="47" t="n"/>
    </row>
    <row r="16" ht="15" customHeight="1" s="350" thickBot="1">
      <c r="A16" s="44" t="inlineStr">
        <is>
          <t>Masked Person 28</t>
        </is>
      </c>
      <c r="B16" s="45">
        <f>VLOOKUP(A16,Master!A:C,3,0)</f>
        <v/>
      </c>
      <c r="C16" s="44" t="n"/>
      <c r="D16" s="44" t="n"/>
      <c r="E16" s="47" t="n"/>
    </row>
    <row r="17" ht="15" customHeight="1" s="350" thickBot="1">
      <c r="A17" s="44" t="inlineStr">
        <is>
          <t>Masked Person 70</t>
        </is>
      </c>
      <c r="B17" s="45">
        <f>VLOOKUP(A17,Master!A:C,3,0)</f>
        <v/>
      </c>
      <c r="C17" s="44" t="n"/>
      <c r="D17" s="44" t="n"/>
      <c r="E17" s="47" t="n"/>
    </row>
    <row r="18" ht="15" customHeight="1" s="350" thickBot="1">
      <c r="A18" s="44" t="inlineStr">
        <is>
          <t>Masked Person 76</t>
        </is>
      </c>
      <c r="B18" s="45">
        <f>VLOOKUP(A18,Master!A:C,3,0)</f>
        <v/>
      </c>
      <c r="C18" s="44" t="n"/>
      <c r="D18" s="44" t="n"/>
      <c r="E18" s="47" t="n"/>
    </row>
    <row r="19" ht="15" customHeight="1" s="350" thickBot="1">
      <c r="A19" s="84" t="inlineStr">
        <is>
          <t>Masked Person 80</t>
        </is>
      </c>
      <c r="B19" s="45">
        <f>VLOOKUP(A19,Master!A:C,3,0)</f>
        <v/>
      </c>
      <c r="C19" s="44" t="n"/>
      <c r="D19" s="44" t="n"/>
      <c r="E19" s="47" t="n"/>
    </row>
    <row r="20" ht="15" customHeight="1" s="350" thickBot="1">
      <c r="A20" s="44" t="inlineStr">
        <is>
          <t>Masked Person 18</t>
        </is>
      </c>
      <c r="B20" s="45">
        <f>VLOOKUP(A20,Master!A:C,3,0)</f>
        <v/>
      </c>
      <c r="C20" s="87" t="n"/>
      <c r="D20" s="84" t="n"/>
      <c r="E20" s="85" t="n"/>
    </row>
    <row r="21" ht="15" customHeight="1" s="350" thickBot="1">
      <c r="A21" s="44" t="inlineStr">
        <is>
          <t>Masked Person 78</t>
        </is>
      </c>
      <c r="B21" s="45">
        <f>VLOOKUP(A21,Master!A:C,3,0)</f>
        <v/>
      </c>
      <c r="C21" s="87" t="n"/>
      <c r="D21" s="84" t="n"/>
      <c r="E21" s="85" t="n"/>
    </row>
    <row r="22" ht="15" customHeight="1" s="350" thickBot="1">
      <c r="A22" s="50" t="n"/>
      <c r="B22" s="45" t="n"/>
      <c r="C22" s="50" t="n"/>
      <c r="D22" s="50" t="n"/>
      <c r="E22" s="104" t="n"/>
    </row>
    <row r="23" ht="15" customHeight="1" s="350" thickBot="1">
      <c r="A23" s="45" t="inlineStr">
        <is>
          <t>Masked Person 7</t>
        </is>
      </c>
      <c r="B23" s="45">
        <f>VLOOKUP(A23,Master!A:C,3,0)</f>
        <v/>
      </c>
      <c r="C23" s="103" t="n"/>
      <c r="D23" s="45" t="n"/>
      <c r="E23" s="46" t="n"/>
    </row>
    <row r="24" ht="15" customHeight="1" s="350" thickBot="1">
      <c r="A24" s="44" t="inlineStr">
        <is>
          <t>Masked Person 10</t>
        </is>
      </c>
      <c r="B24" s="45">
        <f>VLOOKUP(A24,Master!A:C,3,0)</f>
        <v/>
      </c>
      <c r="C24" s="86" t="n"/>
      <c r="D24" s="44" t="n"/>
      <c r="E24" s="47" t="n"/>
    </row>
    <row r="25" ht="15" customHeight="1" s="350" thickBot="1">
      <c r="A25" s="44" t="inlineStr">
        <is>
          <t>Masked Person 20</t>
        </is>
      </c>
      <c r="B25" s="45">
        <f>VLOOKUP(A25,Master!A:C,3,0)</f>
        <v/>
      </c>
      <c r="C25" s="86" t="n"/>
      <c r="D25" s="44" t="n"/>
      <c r="E25" s="47" t="n"/>
    </row>
    <row r="26" ht="15" customHeight="1" s="350" thickBot="1">
      <c r="A26" s="44" t="inlineStr">
        <is>
          <t>Masked Person 31</t>
        </is>
      </c>
      <c r="B26" s="45">
        <f>VLOOKUP(A26,Master!A:C,3,0)</f>
        <v/>
      </c>
      <c r="C26" s="86" t="n"/>
      <c r="D26" s="44" t="n"/>
      <c r="E26" s="47" t="n"/>
    </row>
    <row r="27" ht="15" customHeight="1" s="350" thickBot="1">
      <c r="A27" s="44" t="inlineStr">
        <is>
          <t>Masked Person 33</t>
        </is>
      </c>
      <c r="B27" s="45">
        <f>VLOOKUP(A27,Master!A:C,3,0)</f>
        <v/>
      </c>
      <c r="C27" s="86" t="n"/>
      <c r="D27" s="44" t="n"/>
      <c r="E27" s="47" t="n"/>
    </row>
    <row r="28" ht="15" customHeight="1" s="350" thickBot="1">
      <c r="A28" s="44" t="inlineStr">
        <is>
          <t>Masked Person 46</t>
        </is>
      </c>
      <c r="B28" s="45">
        <f>VLOOKUP(A28,Master!A:C,3,0)</f>
        <v/>
      </c>
      <c r="C28" s="86" t="n"/>
      <c r="D28" s="44" t="n"/>
      <c r="E28" s="47" t="n"/>
    </row>
    <row r="29" ht="15" customHeight="1" s="350" thickBot="1">
      <c r="A29" s="44" t="inlineStr">
        <is>
          <t>Masked Person 53</t>
        </is>
      </c>
      <c r="B29" s="45">
        <f>VLOOKUP(A29,Master!A:C,3,0)</f>
        <v/>
      </c>
      <c r="C29" s="86" t="n"/>
      <c r="D29" s="44" t="n"/>
      <c r="E29" s="47" t="n"/>
    </row>
    <row r="30" ht="15" customHeight="1" s="350" thickBot="1">
      <c r="A30" s="44" t="inlineStr">
        <is>
          <t>Masked Person 63</t>
        </is>
      </c>
      <c r="B30" s="45">
        <f>VLOOKUP(A30,Master!A:C,3,0)</f>
        <v/>
      </c>
      <c r="C30" s="86" t="n"/>
      <c r="D30" s="44" t="n"/>
      <c r="E30" s="47" t="n"/>
    </row>
    <row r="31" ht="15" customHeight="1" s="350" thickBot="1">
      <c r="A31" s="44" t="inlineStr">
        <is>
          <t>Masked Person 71</t>
        </is>
      </c>
      <c r="B31" s="45">
        <f>VLOOKUP(A31,Master!A:C,3,0)</f>
        <v/>
      </c>
      <c r="C31" s="86" t="n"/>
      <c r="D31" s="44" t="n"/>
      <c r="E31" s="47" t="n"/>
    </row>
    <row r="32" ht="15" customHeight="1" s="350" thickBot="1">
      <c r="A32" s="44" t="inlineStr">
        <is>
          <t>Masked Person 81</t>
        </is>
      </c>
      <c r="B32" s="45">
        <f>VLOOKUP(A32,Master!A:C,3,0)</f>
        <v/>
      </c>
      <c r="C32" s="86" t="n"/>
      <c r="D32" s="44" t="n"/>
      <c r="E32" s="47" t="n"/>
    </row>
    <row r="33" ht="15" customHeight="1" s="350" thickBot="1">
      <c r="A33" s="44" t="inlineStr">
        <is>
          <t>Masked Person 90</t>
        </is>
      </c>
      <c r="B33" s="45">
        <f>VLOOKUP(A33,Master!A:C,3,0)</f>
        <v/>
      </c>
      <c r="C33" s="86" t="n"/>
      <c r="D33" s="44" t="n"/>
      <c r="E33" s="47" t="n"/>
    </row>
    <row r="34" ht="15" customHeight="1" s="350" thickBot="1">
      <c r="A34" s="44" t="inlineStr">
        <is>
          <t>Masked Person 95</t>
        </is>
      </c>
      <c r="B34" s="45">
        <f>VLOOKUP(A34,Master!A:C,3,0)</f>
        <v/>
      </c>
      <c r="C34" s="86" t="n"/>
      <c r="D34" s="44" t="n"/>
      <c r="E34" s="47" t="n"/>
    </row>
    <row r="35" ht="15" customHeight="1" s="350" thickBot="1">
      <c r="A35" s="84" t="n"/>
      <c r="B35" s="45" t="n"/>
      <c r="C35" s="87" t="n"/>
      <c r="D35" s="84" t="n"/>
      <c r="E35" s="85" t="n"/>
    </row>
    <row r="36" ht="15" customHeight="1" s="350" thickBot="1">
      <c r="A36" s="45" t="inlineStr">
        <is>
          <t>Masked Person 22</t>
        </is>
      </c>
      <c r="B36" s="45">
        <f>VLOOKUP(A36,Master!A:C,3,0)</f>
        <v/>
      </c>
      <c r="C36" s="45" t="n"/>
      <c r="D36" s="45" t="n"/>
      <c r="E36" s="46" t="n"/>
    </row>
    <row r="37" ht="15" customHeight="1" s="350" thickBot="1">
      <c r="A37" s="44" t="inlineStr">
        <is>
          <t>Masked Person 41</t>
        </is>
      </c>
      <c r="B37" s="45">
        <f>VLOOKUP(A37,Master!A:C,3,0)</f>
        <v/>
      </c>
      <c r="C37" s="44" t="n"/>
      <c r="D37" s="44" t="n"/>
      <c r="E37" s="47" t="n"/>
    </row>
    <row r="38" ht="15" customHeight="1" s="350" thickBot="1">
      <c r="A38" s="44" t="inlineStr">
        <is>
          <t>Masked Person 73</t>
        </is>
      </c>
      <c r="B38" s="45">
        <f>VLOOKUP(A38,Master!A:C,3,0)</f>
        <v/>
      </c>
      <c r="C38" s="44" t="n"/>
      <c r="D38" s="44" t="n"/>
      <c r="E38" s="47" t="n"/>
    </row>
    <row r="39" ht="15" customHeight="1" s="350" thickBot="1">
      <c r="A39" s="84" t="n"/>
      <c r="B39" s="45" t="n"/>
      <c r="C39" s="84" t="n"/>
      <c r="D39" s="84" t="n"/>
      <c r="E39" s="85" t="n"/>
    </row>
    <row r="40" ht="15" customHeight="1" s="350" thickBot="1">
      <c r="A40" s="45" t="inlineStr">
        <is>
          <t>Masked Person 34</t>
        </is>
      </c>
      <c r="B40" s="45">
        <f>VLOOKUP(A40,Master!A:C,3,0)</f>
        <v/>
      </c>
      <c r="C40" s="139" t="n">
        <v>46174</v>
      </c>
      <c r="D40" s="139" t="n">
        <v>46296</v>
      </c>
      <c r="E40" s="46" t="n"/>
    </row>
    <row r="41" ht="15" customHeight="1" s="350" thickBot="1">
      <c r="A41" s="44" t="inlineStr">
        <is>
          <t>Masked Person 60</t>
        </is>
      </c>
      <c r="B41" s="45">
        <f>VLOOKUP(A41,Master!A:C,3,0)</f>
        <v/>
      </c>
      <c r="C41" s="143" t="n">
        <v>46174</v>
      </c>
      <c r="D41" s="143" t="n">
        <v>46296</v>
      </c>
      <c r="E41" s="47" t="n"/>
    </row>
    <row r="42" ht="15" customHeight="1" s="350" thickBot="1">
      <c r="A42" s="44" t="inlineStr">
        <is>
          <t>Masked Person 64</t>
        </is>
      </c>
      <c r="B42" s="45">
        <f>VLOOKUP(A42,Master!A:C,3,0)</f>
        <v/>
      </c>
      <c r="C42" s="143" t="n">
        <v>46188</v>
      </c>
      <c r="D42" s="143" t="n">
        <v>46296</v>
      </c>
      <c r="E42" s="47" t="n"/>
    </row>
    <row r="43" ht="15" customHeight="1" s="350" thickBot="1">
      <c r="A43" s="44" t="inlineStr">
        <is>
          <t>Masked Person 68</t>
        </is>
      </c>
      <c r="B43" s="45">
        <f>VLOOKUP(A43,Master!A:C,3,0)</f>
        <v/>
      </c>
      <c r="C43" s="143" t="n">
        <v>46188</v>
      </c>
      <c r="D43" s="143" t="n">
        <v>46296</v>
      </c>
      <c r="E43" s="47" t="n"/>
    </row>
    <row r="44" ht="15" customHeight="1" s="350" thickBot="1">
      <c r="A44" s="84" t="n"/>
      <c r="B44" s="45" t="n"/>
      <c r="C44" s="84" t="n"/>
      <c r="D44" s="84" t="n"/>
      <c r="E44" s="85" t="n"/>
    </row>
    <row r="45" ht="15" customHeight="1" s="350" thickBot="1">
      <c r="A45" s="45" t="inlineStr">
        <is>
          <t>Masked Person 15</t>
        </is>
      </c>
      <c r="B45" s="45">
        <f>VLOOKUP(A45,Master!A:C,3,0)</f>
        <v/>
      </c>
      <c r="C45" s="139" t="n">
        <v>46198</v>
      </c>
      <c r="D45" s="139" t="n">
        <v>46266</v>
      </c>
      <c r="E45" s="46" t="n"/>
    </row>
    <row r="46" ht="15" customHeight="1" s="350" thickBot="1">
      <c r="A46" s="44" t="inlineStr">
        <is>
          <t>Masked Person 19</t>
        </is>
      </c>
      <c r="B46" s="45">
        <f>VLOOKUP(A46,Master!A:C,3,0)</f>
        <v/>
      </c>
      <c r="C46" s="143" t="n">
        <v>46148</v>
      </c>
      <c r="D46" s="139" t="n">
        <v>46266</v>
      </c>
      <c r="E46" s="47" t="n"/>
    </row>
    <row r="47" ht="15" customHeight="1" s="350" thickBot="1">
      <c r="A47" s="44" t="inlineStr">
        <is>
          <t>Masked Person 25</t>
        </is>
      </c>
      <c r="B47" s="45">
        <f>VLOOKUP(A47,Master!A:C,3,0)</f>
        <v/>
      </c>
      <c r="C47" s="143" t="n">
        <v>46054</v>
      </c>
      <c r="D47" s="139" t="n">
        <v>46266</v>
      </c>
      <c r="E47" s="47" t="n"/>
    </row>
    <row r="48" ht="15" customHeight="1" s="350" thickBot="1">
      <c r="A48" s="44" t="inlineStr">
        <is>
          <t>Masked Person 45</t>
        </is>
      </c>
      <c r="B48" s="45">
        <f>VLOOKUP(A48,Master!A:C,3,0)</f>
        <v/>
      </c>
      <c r="C48" s="143" t="n">
        <v>46148</v>
      </c>
      <c r="D48" s="139" t="n">
        <v>46266</v>
      </c>
      <c r="E48" s="47" t="n"/>
    </row>
    <row r="49" ht="15" customHeight="1" s="350" thickBot="1">
      <c r="A49" s="84" t="n"/>
      <c r="B49" s="45" t="n"/>
      <c r="C49" s="84" t="n"/>
      <c r="D49" s="84" t="n"/>
      <c r="E49" s="85" t="n"/>
    </row>
    <row r="50" ht="15" customHeight="1" s="350" thickBot="1">
      <c r="A50" s="45" t="inlineStr">
        <is>
          <t>Masked Person 30</t>
        </is>
      </c>
      <c r="B50" s="45">
        <f>VLOOKUP(A50,Master!A:C,3,0)</f>
        <v/>
      </c>
      <c r="C50" s="45" t="n"/>
      <c r="D50" s="45" t="n"/>
      <c r="E50" s="46" t="n"/>
    </row>
    <row r="51" ht="15" customHeight="1" s="350" thickBot="1">
      <c r="A51" s="44" t="inlineStr">
        <is>
          <t>Masked Person 60</t>
        </is>
      </c>
      <c r="B51" s="45">
        <f>VLOOKUP(A51,Master!A:C,3,0)</f>
        <v/>
      </c>
      <c r="C51" s="44" t="n"/>
      <c r="D51" s="44" t="n"/>
      <c r="E51" s="47" t="n"/>
    </row>
    <row r="52" ht="15" customHeight="1" s="350" thickBot="1">
      <c r="A52" s="44" t="inlineStr">
        <is>
          <t>Masked Person 44</t>
        </is>
      </c>
      <c r="B52" s="45">
        <f>VLOOKUP(A52,Master!A:C,3,0)</f>
        <v/>
      </c>
      <c r="C52" s="44" t="n"/>
      <c r="D52" s="44" t="n"/>
      <c r="E52" s="47" t="n"/>
    </row>
    <row r="53" ht="15" customHeight="1" s="350" thickBot="1">
      <c r="A53" s="44" t="inlineStr">
        <is>
          <t>Masked Person 52</t>
        </is>
      </c>
      <c r="B53" s="45">
        <f>VLOOKUP(A53,Master!A:C,3,0)</f>
        <v/>
      </c>
      <c r="C53" s="44" t="n"/>
      <c r="D53" s="44" t="n"/>
      <c r="E53" s="47" t="n"/>
    </row>
    <row r="54" ht="15" customHeight="1" s="350" thickBot="1">
      <c r="A54" s="44" t="inlineStr">
        <is>
          <t>Masked Person 55</t>
        </is>
      </c>
      <c r="B54" s="45">
        <f>VLOOKUP(A54,Master!A:C,3,0)</f>
        <v/>
      </c>
      <c r="C54" s="44" t="n"/>
      <c r="D54" s="44" t="n"/>
      <c r="E54" s="47" t="n"/>
    </row>
    <row r="55" ht="15" customHeight="1" s="350" thickBot="1">
      <c r="A55" s="44" t="inlineStr">
        <is>
          <t>Masked Person 62</t>
        </is>
      </c>
      <c r="B55" s="45">
        <f>VLOOKUP(A55,Master!A:C,3,0)</f>
        <v/>
      </c>
      <c r="C55" s="44" t="n"/>
      <c r="D55" s="44" t="n"/>
      <c r="E55" s="47" t="n"/>
    </row>
    <row r="56" ht="15" customHeight="1" s="350" thickBot="1">
      <c r="A56" s="84" t="n"/>
      <c r="B56" s="45" t="n"/>
      <c r="C56" s="84" t="n"/>
      <c r="D56" s="84" t="n"/>
      <c r="E56" s="85" t="n"/>
    </row>
    <row r="57" ht="15" customHeight="1" s="350" thickBot="1">
      <c r="A57" s="51" t="inlineStr">
        <is>
          <t>Masked Person 47</t>
        </is>
      </c>
      <c r="B57" s="45">
        <f>VLOOKUP(A57,Master!A:C,3,0)</f>
        <v/>
      </c>
      <c r="C57" s="111" t="n"/>
      <c r="D57" s="111" t="n"/>
      <c r="E57" s="52" t="n"/>
    </row>
    <row r="58" ht="15" customHeight="1" s="350" thickBot="1">
      <c r="A58" s="50" t="n"/>
      <c r="B58" s="45" t="n"/>
      <c r="C58" s="102" t="n"/>
      <c r="D58" s="102" t="n"/>
      <c r="E58" s="50" t="n"/>
    </row>
    <row r="59" ht="15" customHeight="1" s="350" thickBot="1">
      <c r="A59" s="45" t="inlineStr">
        <is>
          <t>Masked Person 2</t>
        </is>
      </c>
      <c r="B59" s="45">
        <f>VLOOKUP(A59,Master!A:C,3,0)</f>
        <v/>
      </c>
      <c r="C59" s="116" t="n"/>
      <c r="D59" s="118" t="n">
        <v>46241</v>
      </c>
      <c r="E59" s="144" t="inlineStr">
        <is>
          <t>Internship ending on 7Aug2026</t>
        </is>
      </c>
    </row>
    <row r="60" ht="15" customHeight="1" s="350" thickBot="1">
      <c r="A60" s="44" t="inlineStr">
        <is>
          <t>Masked Person 4</t>
        </is>
      </c>
      <c r="B60" s="45">
        <f>VLOOKUP(A60,Master!A:C,3,0)</f>
        <v/>
      </c>
      <c r="C60" s="107" t="n"/>
      <c r="D60" s="129" t="n">
        <v>46387</v>
      </c>
      <c r="E60" s="47" t="n"/>
    </row>
    <row r="61" ht="15" customHeight="1" s="350" thickBot="1">
      <c r="A61" s="44" t="inlineStr">
        <is>
          <t>Masked Person 66</t>
        </is>
      </c>
      <c r="B61" s="45">
        <f>VLOOKUP(A61,Master!A:C,3,0)</f>
        <v/>
      </c>
      <c r="C61" s="107" t="n"/>
      <c r="D61" s="129" t="n">
        <v>46387</v>
      </c>
      <c r="E61" s="47" t="n"/>
    </row>
    <row r="62" ht="15" customHeight="1" s="350" thickBot="1">
      <c r="A62" s="44" t="inlineStr">
        <is>
          <t>Masked Person 92</t>
        </is>
      </c>
      <c r="B62" s="45">
        <f>VLOOKUP(A62,Master!A:C,3,0)</f>
        <v/>
      </c>
      <c r="C62" s="107" t="n"/>
      <c r="D62" s="129" t="n">
        <v>46387</v>
      </c>
      <c r="E62" s="47" t="n"/>
    </row>
    <row r="63" ht="15" customHeight="1" s="350" thickBot="1">
      <c r="A63" s="84" t="n"/>
      <c r="B63" s="131" t="n"/>
      <c r="C63" s="117" t="n"/>
      <c r="D63" s="117" t="n"/>
      <c r="E63" s="85" t="n"/>
    </row>
    <row r="64" ht="29" customHeight="1" s="350">
      <c r="A64" s="359" t="inlineStr">
        <is>
          <t>Masked Person 6</t>
        </is>
      </c>
      <c r="B64" s="359">
        <f>VLOOKUP(A64,Master!A:C,3,0)</f>
        <v/>
      </c>
      <c r="C64" s="136" t="n">
        <v>46279</v>
      </c>
      <c r="D64" s="136" t="n">
        <v>46387</v>
      </c>
      <c r="E64" s="138" t="inlineStr">
        <is>
          <t>100% available from 1Sep - 11Sep26
50% available from 14Sep - 31Dec26</t>
        </is>
      </c>
    </row>
    <row r="65" ht="15" customHeight="1" s="350" thickBot="1">
      <c r="A65" s="48" t="n"/>
      <c r="B65" s="48" t="n"/>
      <c r="C65" s="120" t="n"/>
      <c r="D65" s="120" t="n"/>
      <c r="E65" s="49" t="n"/>
    </row>
    <row r="66" ht="15" customHeight="1" s="350" thickBot="1">
      <c r="A66" s="50" t="n"/>
      <c r="B66" s="132" t="n"/>
      <c r="C66" s="102" t="n"/>
      <c r="D66" s="102" t="n"/>
      <c r="E66" s="104" t="n"/>
    </row>
    <row r="67" ht="15" customHeight="1" s="350" thickBot="1">
      <c r="A67" s="51" t="inlineStr">
        <is>
          <t>Masked Person 91</t>
        </is>
      </c>
      <c r="B67" s="45">
        <f>VLOOKUP(A67,Master!A:C,3,0)</f>
        <v/>
      </c>
      <c r="C67" s="111" t="n"/>
      <c r="D67" s="111" t="n"/>
      <c r="E67" s="52" t="n"/>
    </row>
    <row r="68" ht="15" customHeight="1" s="350" thickBot="1">
      <c r="A68" s="50" t="n"/>
      <c r="B68" s="45" t="n"/>
      <c r="C68" s="102" t="n"/>
      <c r="D68" s="102" t="n"/>
      <c r="E68" s="50" t="n"/>
    </row>
    <row r="69" ht="15" customHeight="1" s="350" thickBot="1">
      <c r="A69" s="51" t="inlineStr">
        <is>
          <t>Masked Person 26</t>
        </is>
      </c>
      <c r="B69" s="45">
        <f>VLOOKUP(A69,Master!A:C,3,0)</f>
        <v/>
      </c>
      <c r="C69" s="111" t="n"/>
      <c r="D69" s="111" t="n"/>
      <c r="E69" s="52" t="n"/>
    </row>
    <row r="70" ht="15" customHeight="1" s="350" thickBot="1">
      <c r="A70" s="50" t="n"/>
      <c r="B70" s="45" t="n"/>
      <c r="C70" s="102" t="n"/>
      <c r="D70" s="102" t="n"/>
      <c r="E70" s="50" t="n"/>
    </row>
    <row r="71" ht="15" customHeight="1" s="350" thickBot="1">
      <c r="A71" s="45" t="inlineStr">
        <is>
          <t>Masked Person 32</t>
        </is>
      </c>
      <c r="B71" s="45">
        <f>VLOOKUP(A71,Master!A:C,3,0)</f>
        <v/>
      </c>
      <c r="C71" s="116" t="n"/>
      <c r="D71" s="118" t="n">
        <v>46248</v>
      </c>
      <c r="E71" s="46" t="inlineStr">
        <is>
          <t>He is available from 17Aug2026</t>
        </is>
      </c>
    </row>
    <row r="72" ht="15" customHeight="1" s="350" thickBot="1">
      <c r="A72" s="115" t="inlineStr">
        <is>
          <t>Masked Person 6</t>
        </is>
      </c>
      <c r="B72" s="45">
        <f>VLOOKUP(A72,Master!A:C,3,0)</f>
        <v/>
      </c>
      <c r="C72" s="120" t="n"/>
      <c r="D72" s="121" t="n">
        <v>46265</v>
      </c>
      <c r="E72" s="49" t="n"/>
    </row>
    <row r="73" ht="15" customHeight="1" s="350" thickBot="1">
      <c r="A73" s="50" t="n"/>
      <c r="B73" s="45" t="n"/>
      <c r="C73" s="102" t="n"/>
      <c r="D73" s="102" t="n"/>
      <c r="E73" s="50" t="n"/>
    </row>
    <row r="74" ht="15" customHeight="1" s="350" thickBot="1">
      <c r="A74" s="45" t="inlineStr">
        <is>
          <t>Masked Person 85</t>
        </is>
      </c>
      <c r="B74" s="45">
        <f>VLOOKUP(A74,Master!A:C,3,0)</f>
        <v/>
      </c>
      <c r="C74" s="116" t="n"/>
      <c r="D74" s="116" t="n"/>
      <c r="E74" s="46" t="n"/>
    </row>
    <row r="75" ht="15" customHeight="1" s="350" thickBot="1">
      <c r="A75" s="48" t="inlineStr">
        <is>
          <t>Masked Person 90</t>
        </is>
      </c>
      <c r="B75" s="45">
        <f>VLOOKUP(A75,Master!A:C,3,0)</f>
        <v/>
      </c>
      <c r="C75" s="120" t="n"/>
      <c r="D75" s="120" t="n"/>
      <c r="E75" s="49" t="n"/>
    </row>
    <row r="76" ht="15" customHeight="1" s="350" thickBot="1">
      <c r="A76" s="50" t="n"/>
      <c r="B76" s="45" t="n"/>
      <c r="C76" s="102" t="n"/>
      <c r="D76" s="102" t="n"/>
      <c r="E76" s="50" t="n"/>
    </row>
    <row r="77" ht="15" customHeight="1" s="350" thickBot="1">
      <c r="A77" s="114" t="inlineStr">
        <is>
          <t>Masked Person 57</t>
        </is>
      </c>
      <c r="B77" s="45">
        <f>VLOOKUP(A77,Master!A:C,3,0)</f>
        <v/>
      </c>
      <c r="C77" s="111" t="n"/>
      <c r="D77" s="112" t="n">
        <v>46478</v>
      </c>
      <c r="E77" s="113" t="n"/>
    </row>
  </sheetData>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E78"/>
  <sheetViews>
    <sheetView topLeftCell="A53" zoomScale="102" workbookViewId="0">
      <selection activeCell="A60" sqref="A60"/>
    </sheetView>
  </sheetViews>
  <sheetFormatPr baseColWidth="8" defaultRowHeight="14.5"/>
  <cols>
    <col width="29.453125" customWidth="1" style="350" min="1" max="2"/>
    <col width="21.81640625" customWidth="1" style="350" min="3" max="3"/>
    <col width="34.54296875" customWidth="1" style="122" min="4" max="4"/>
    <col width="23.1796875" bestFit="1" customWidth="1" style="350" min="5" max="5"/>
  </cols>
  <sheetData>
    <row r="1" ht="15" customHeight="1" s="350" thickBot="1"/>
    <row r="2" ht="15" customHeight="1" s="350" thickBot="1">
      <c r="A2" s="3" t="inlineStr">
        <is>
          <t>Employee name</t>
        </is>
      </c>
      <c r="B2" s="3" t="n"/>
      <c r="C2" s="3" t="inlineStr">
        <is>
          <t>Rank and Grade</t>
        </is>
      </c>
      <c r="D2" s="128" t="inlineStr">
        <is>
          <t>Allocation Remarks</t>
        </is>
      </c>
      <c r="E2" s="100" t="inlineStr">
        <is>
          <t>Resource</t>
        </is>
      </c>
    </row>
    <row r="3" ht="43.5" customHeight="1" s="350">
      <c r="A3" s="145" t="inlineStr">
        <is>
          <t>Masked Person 2</t>
        </is>
      </c>
      <c r="B3" s="145">
        <f>VLOOKUP(A3,E:E,1,0)</f>
        <v/>
      </c>
      <c r="C3" s="145" t="inlineStr">
        <is>
          <t>Intern (CS) 1</t>
        </is>
      </c>
      <c r="D3" s="146" t="inlineStr">
        <is>
          <t>May - Aug 2027 Client G 
May - Aug 2026 - Client G 100%
Internship until 7 Aug</t>
        </is>
      </c>
      <c r="E3" s="82" t="inlineStr">
        <is>
          <t>Masked Person 7</t>
        </is>
      </c>
    </row>
    <row r="4" ht="43.5" customHeight="1" s="350">
      <c r="A4" t="inlineStr">
        <is>
          <t>Masked Person 3</t>
        </is>
      </c>
      <c r="B4" s="145">
        <f>VLOOKUP(A4,E:E,1,0)</f>
        <v/>
      </c>
      <c r="C4" t="inlineStr">
        <is>
          <t>Senior 3</t>
        </is>
      </c>
      <c r="D4" s="41" t="inlineStr">
        <is>
          <t>Jan 2027 - None
Jul - Dec 2026 - Client A M&amp;S 100%
Jan - Dec 2026 - Client A 100%</t>
        </is>
      </c>
      <c r="E4" s="83" t="inlineStr">
        <is>
          <t>Masked Person 8</t>
        </is>
      </c>
    </row>
    <row r="5">
      <c r="A5" t="inlineStr">
        <is>
          <t>Masked Person 4</t>
        </is>
      </c>
      <c r="B5" s="145">
        <f>VLOOKUP(A5,E:E,1,0)</f>
        <v/>
      </c>
      <c r="C5" t="inlineStr">
        <is>
          <t>Senior 1</t>
        </is>
      </c>
      <c r="D5" s="41" t="inlineStr">
        <is>
          <t>100% on Client G till 30Nov26</t>
        </is>
      </c>
      <c r="E5" s="83" t="inlineStr">
        <is>
          <t>Masked Person 49</t>
        </is>
      </c>
    </row>
    <row r="6" ht="29" customHeight="1" s="350">
      <c r="A6" s="25" t="inlineStr">
        <is>
          <t>Masked Person 5</t>
        </is>
      </c>
      <c r="B6" s="145">
        <f>VLOOKUP(A6,E:E,1,0)</f>
        <v/>
      </c>
      <c r="C6" s="25" t="inlineStr">
        <is>
          <t>Senior 1</t>
        </is>
      </c>
      <c r="D6" s="41" t="inlineStr">
        <is>
          <t>Sep 2026 - Jan 2027 - none 
On bench (27 Jul)</t>
        </is>
      </c>
      <c r="E6" s="83" t="inlineStr">
        <is>
          <t>Masked Person 59</t>
        </is>
      </c>
    </row>
    <row r="7" ht="87" customHeight="1" s="350">
      <c r="A7" t="inlineStr">
        <is>
          <t>Masked Person 6</t>
        </is>
      </c>
      <c r="B7" s="145">
        <f>VLOOKUP(A7,E:E,1,0)</f>
        <v/>
      </c>
      <c r="C7" t="inlineStr">
        <is>
          <t>Senior 3</t>
        </is>
      </c>
      <c r="D7" s="110" t="inlineStr">
        <is>
          <t>September 2026 - January 2027 - Client T 100%
August 2026 - August 2026 - Client L 100%
April - End August 2026 - Data Management Strategy Study 100%</t>
        </is>
      </c>
      <c r="E7" s="83" t="inlineStr">
        <is>
          <t>Masked Person 67</t>
        </is>
      </c>
    </row>
    <row r="8" ht="29" customHeight="1" s="350">
      <c r="A8" t="inlineStr">
        <is>
          <t>Masked Person 7</t>
        </is>
      </c>
      <c r="B8" s="145">
        <f>VLOOKUP(A8,E:E,1,0)</f>
        <v/>
      </c>
      <c r="C8" t="inlineStr">
        <is>
          <t>Manager 3</t>
        </is>
      </c>
      <c r="D8" s="41" t="inlineStr">
        <is>
          <t>Jul - Aug 2026 - 80% Client A 20% Client B
Sep 2026 - Jan 2027 onwards - 50% Client B</t>
        </is>
      </c>
      <c r="E8" s="83" t="inlineStr">
        <is>
          <t>Masked Person 76</t>
        </is>
      </c>
    </row>
    <row r="9">
      <c r="A9" t="inlineStr">
        <is>
          <t>Masked Person 8</t>
        </is>
      </c>
      <c r="B9" s="145">
        <f>VLOOKUP(A9,E:E,1,0)</f>
        <v/>
      </c>
      <c r="C9" t="inlineStr">
        <is>
          <t>Senior 2</t>
        </is>
      </c>
      <c r="D9" s="123" t="inlineStr">
        <is>
          <t>Jan - Feb 2027 - Client A 100%</t>
        </is>
      </c>
      <c r="E9" s="83" t="inlineStr">
        <is>
          <t>Masked Person 79</t>
        </is>
      </c>
    </row>
    <row r="10">
      <c r="A10" t="inlineStr">
        <is>
          <t>Masked Person 9</t>
        </is>
      </c>
      <c r="B10" s="145">
        <f>VLOOKUP(A10,E:E,1,0)</f>
        <v/>
      </c>
      <c r="C10" t="inlineStr">
        <is>
          <t>Staff/Assistant 2</t>
        </is>
      </c>
      <c r="D10" s="122" t="inlineStr">
        <is>
          <t>Aug 2026 - Jan 2027 - Client A Platform A1 in GovCloud 100%
Jan - Dec 2026 - Client A 100%
Profile has been submitted for Client AB.</t>
        </is>
      </c>
      <c r="E10" s="83" t="inlineStr">
        <is>
          <t>Masked Person 87</t>
        </is>
      </c>
    </row>
    <row r="11">
      <c r="A11" t="inlineStr">
        <is>
          <t>Masked Person 10</t>
        </is>
      </c>
      <c r="B11" s="145">
        <f>VLOOKUP(A11,E:E,1,0)</f>
        <v/>
      </c>
      <c r="C11" t="inlineStr">
        <is>
          <t>Staff/Assistant 1</t>
        </is>
      </c>
      <c r="D11" s="122" t="inlineStr">
        <is>
          <t>Jul - Aug 2026 -Client B 100%</t>
        </is>
      </c>
      <c r="E11" s="83" t="inlineStr">
        <is>
          <t>Masked Person 89</t>
        </is>
      </c>
    </row>
    <row r="12">
      <c r="A12" s="25" t="inlineStr">
        <is>
          <t>Masked Person 12</t>
        </is>
      </c>
      <c r="B12" s="145">
        <f>VLOOKUP(A12,E:E,1,0)</f>
        <v/>
      </c>
      <c r="C12" t="inlineStr">
        <is>
          <t>Senior 2</t>
        </is>
      </c>
      <c r="D12" s="122" t="inlineStr">
        <is>
          <t>On bench (27 Jul) / Pending for Client C 50%</t>
        </is>
      </c>
      <c r="E12" s="83" t="inlineStr">
        <is>
          <t>Masked Person 93</t>
        </is>
      </c>
    </row>
    <row r="13" ht="15" customHeight="1" s="350" thickBot="1">
      <c r="A13" s="96" t="inlineStr">
        <is>
          <t>Masked Person 14</t>
        </is>
      </c>
      <c r="B13" s="145">
        <f>VLOOKUP(A13,E:E,1,0)</f>
        <v/>
      </c>
      <c r="C13" t="inlineStr">
        <is>
          <t>Senior 3</t>
        </is>
      </c>
      <c r="D13" s="122" t="inlineStr">
        <is>
          <t>Resigned and left the organization</t>
        </is>
      </c>
      <c r="E13" s="50" t="inlineStr">
        <is>
          <t>Masked Person 96</t>
        </is>
      </c>
    </row>
    <row r="14" ht="58" customHeight="1" s="350">
      <c r="A14" t="inlineStr">
        <is>
          <t>Masked Person 15</t>
        </is>
      </c>
      <c r="B14" s="145">
        <f>VLOOKUP(A14,E:E,1,0)</f>
        <v/>
      </c>
      <c r="C14" t="inlineStr">
        <is>
          <t>Intern (CS) 1</t>
        </is>
      </c>
      <c r="D14" s="110" t="inlineStr">
        <is>
          <t>Jul - Aug 2026 - Client I 100%, Sep - Dec 2026 Client J 100%
Jul - Aug 2026 Project I1 100%
internship until 13th November 2026</t>
        </is>
      </c>
      <c r="E14" s="45" t="inlineStr">
        <is>
          <t>Masked Person 3</t>
        </is>
      </c>
    </row>
    <row r="15">
      <c r="A15" t="inlineStr">
        <is>
          <t>Masked Person 18</t>
        </is>
      </c>
      <c r="B15" s="145">
        <f>VLOOKUP(A15,E:E,1,0)</f>
        <v/>
      </c>
      <c r="C15" t="inlineStr">
        <is>
          <t>Staff/Assistant 2</t>
        </is>
      </c>
      <c r="D15" s="122" t="inlineStr">
        <is>
          <t>November 2026 - Jan 2027 [unconfirmed] Client H 100%
September - October 2026 - Client E 100%
Aug 2026 - Client A 50%
Aug 2026 - Client E 50%
Jan - 14 Aug 2026 - Client H 100%,
Jul - Oct 2026 - Client E 100%</t>
        </is>
      </c>
      <c r="E15" s="44" t="inlineStr">
        <is>
          <t>Masked Person 9</t>
        </is>
      </c>
    </row>
    <row r="16" ht="29" customHeight="1" s="350">
      <c r="A16" t="inlineStr">
        <is>
          <t>Masked Person 19</t>
        </is>
      </c>
      <c r="B16" s="145">
        <f>VLOOKUP(A16,E:E,1,0)</f>
        <v/>
      </c>
      <c r="C16" t="inlineStr">
        <is>
          <t>Intern (CS) 1</t>
        </is>
      </c>
      <c r="D16" s="110" t="inlineStr">
        <is>
          <t>Jul - Aug 2026 Project I1 100%
Intenship until 11 December</t>
        </is>
      </c>
      <c r="E16" s="44" t="inlineStr">
        <is>
          <t>Masked Person 27</t>
        </is>
      </c>
    </row>
    <row r="17">
      <c r="A17" t="inlineStr">
        <is>
          <t>Masked Person 20</t>
        </is>
      </c>
      <c r="B17" s="145">
        <f>VLOOKUP(A17,E:E,1,0)</f>
        <v/>
      </c>
      <c r="C17" t="inlineStr">
        <is>
          <t>Manager 3</t>
        </is>
      </c>
      <c r="D17" s="122" t="inlineStr">
        <is>
          <t>Jan - Jul 2027 - Client B 100%</t>
        </is>
      </c>
      <c r="E17" s="44" t="inlineStr">
        <is>
          <t>Masked Person 28</t>
        </is>
      </c>
    </row>
    <row r="18">
      <c r="A18" t="inlineStr">
        <is>
          <t>Masked Person 22</t>
        </is>
      </c>
      <c r="B18" s="145">
        <f>VLOOKUP(A18,E:E,1,0)</f>
        <v/>
      </c>
      <c r="C18" t="inlineStr">
        <is>
          <t>Senior 1</t>
        </is>
      </c>
      <c r="D18" s="123" t="inlineStr">
        <is>
          <t>Jan - Jan 2027 - Client D 100%</t>
        </is>
      </c>
      <c r="E18" s="44" t="inlineStr">
        <is>
          <t>Masked Person 70</t>
        </is>
      </c>
    </row>
    <row r="19" ht="43.5" customHeight="1" s="350">
      <c r="A19" s="152" t="inlineStr">
        <is>
          <t>Masked Person 23</t>
        </is>
      </c>
      <c r="B19" s="145">
        <f>VLOOKUP(A19,E:E,1,0)</f>
        <v/>
      </c>
      <c r="C19" s="145" t="inlineStr">
        <is>
          <t>Intern (CS) 1</t>
        </is>
      </c>
      <c r="D19" s="147" t="inlineStr">
        <is>
          <t>July - Aug 2026 - Client R
Internship until 8 Aug 2026</t>
        </is>
      </c>
      <c r="E19" s="44" t="inlineStr">
        <is>
          <t>Masked Person 76</t>
        </is>
      </c>
    </row>
    <row r="20" ht="29" customHeight="1" s="350">
      <c r="A20" t="inlineStr">
        <is>
          <t>Masked Person 25</t>
        </is>
      </c>
      <c r="B20" s="145">
        <f>VLOOKUP(A20,E:E,1,0)</f>
        <v/>
      </c>
      <c r="C20" t="inlineStr">
        <is>
          <t>Manager 1</t>
        </is>
      </c>
      <c r="D20" s="41" t="inlineStr">
        <is>
          <t>Aug - Oct 2026 - Client J 100%,
Nov-Dec none</t>
        </is>
      </c>
      <c r="E20" s="84" t="inlineStr">
        <is>
          <t>Masked Person 80</t>
        </is>
      </c>
    </row>
    <row r="21">
      <c r="A21" t="inlineStr">
        <is>
          <t>Masked Person 26</t>
        </is>
      </c>
      <c r="B21" s="145">
        <f>VLOOKUP(A21,E:E,1,0)</f>
        <v/>
      </c>
      <c r="C21" t="inlineStr">
        <is>
          <t>Senior 3</t>
        </is>
      </c>
      <c r="D21" s="122" t="inlineStr">
        <is>
          <t>15 June - November 2026 Client P 60%
till Aug 7 - Client Q 40%</t>
        </is>
      </c>
      <c r="E21" s="44" t="inlineStr">
        <is>
          <t>Masked Person 18</t>
        </is>
      </c>
    </row>
    <row r="22" ht="43.5" customHeight="1" s="350">
      <c r="A22" t="inlineStr">
        <is>
          <t>Masked Person 27</t>
        </is>
      </c>
      <c r="B22" s="145">
        <f>VLOOKUP(A22,E:E,1,0)</f>
        <v/>
      </c>
      <c r="C22" t="inlineStr">
        <is>
          <t>Manager 3</t>
        </is>
      </c>
      <c r="D22" s="124" t="inlineStr">
        <is>
          <t>Jan - Dec - Client A 60%, 
20% Project C2 enhancment, 
20% Project C2 BD</t>
        </is>
      </c>
      <c r="E22" s="44" t="inlineStr">
        <is>
          <t>Masked Person 78</t>
        </is>
      </c>
    </row>
    <row r="23" ht="15" customHeight="1" s="350" thickBot="1">
      <c r="A23" t="inlineStr">
        <is>
          <t>Masked Person 28</t>
        </is>
      </c>
      <c r="B23" s="145">
        <f>VLOOKUP(A23,E:E,1,0)</f>
        <v/>
      </c>
      <c r="C23" t="inlineStr">
        <is>
          <t>Staff/Assistant 2</t>
        </is>
      </c>
      <c r="D23" s="122" t="inlineStr">
        <is>
          <t>May - Aug 2027 - Client A 100%</t>
        </is>
      </c>
      <c r="E23" s="50" t="n"/>
    </row>
    <row r="24">
      <c r="A24" t="inlineStr">
        <is>
          <t>Masked Person 30</t>
        </is>
      </c>
      <c r="B24" s="145">
        <f>VLOOKUP(A24,E:E,1,0)</f>
        <v/>
      </c>
      <c r="C24" t="inlineStr">
        <is>
          <t>Senior 3</t>
        </is>
      </c>
      <c r="D24" s="123" t="inlineStr">
        <is>
          <t>Jan - Dec 2030 Client C 100%</t>
        </is>
      </c>
      <c r="E24" s="45" t="inlineStr">
        <is>
          <t>Masked Person 7</t>
        </is>
      </c>
    </row>
    <row r="25" ht="29" customHeight="1" s="350">
      <c r="A25" t="inlineStr">
        <is>
          <t>Masked Person 31</t>
        </is>
      </c>
      <c r="B25" s="145">
        <f>VLOOKUP(A25,E:E,1,0)</f>
        <v/>
      </c>
      <c r="C25" t="inlineStr">
        <is>
          <t>Staff/Assistant 2</t>
        </is>
      </c>
      <c r="D25" s="41" t="inlineStr">
        <is>
          <t>Jul 2026 - Dec 2027 - Client B 100%
Mar - Dec 2026 - Client B 100%</t>
        </is>
      </c>
      <c r="E25" s="44" t="inlineStr">
        <is>
          <t>Masked Person 10</t>
        </is>
      </c>
    </row>
    <row r="26" ht="29" customHeight="1" s="350">
      <c r="A26" t="inlineStr">
        <is>
          <t>Masked Person 32</t>
        </is>
      </c>
      <c r="B26" s="145">
        <f>VLOOKUP(A26,E:E,1,0)</f>
        <v/>
      </c>
      <c r="C26" t="inlineStr">
        <is>
          <t>Staff/Assistant 1</t>
        </is>
      </c>
      <c r="D26" s="110" t="inlineStr">
        <is>
          <t>May - Aug 2026 - Client L 100%
Jul - Nov 2026 - Client L 100%</t>
        </is>
      </c>
      <c r="E26" s="44" t="inlineStr">
        <is>
          <t>Masked Person 20</t>
        </is>
      </c>
    </row>
    <row r="27" ht="29" customHeight="1" s="350">
      <c r="A27" s="25" t="inlineStr">
        <is>
          <t>Masked Person 33</t>
        </is>
      </c>
      <c r="B27" s="145">
        <f>VLOOKUP(A27,E:E,1,0)</f>
        <v/>
      </c>
      <c r="C27" t="inlineStr">
        <is>
          <t>Senior 2</t>
        </is>
      </c>
      <c r="D27" s="41" t="inlineStr">
        <is>
          <t>Aug 2026 - Jan 2027 - Client B
Jan- Dec 2029 Client B 100%</t>
        </is>
      </c>
      <c r="E27" s="44" t="inlineStr">
        <is>
          <t>Masked Person 31</t>
        </is>
      </c>
    </row>
    <row r="28" ht="58" customHeight="1" s="350">
      <c r="A28" t="inlineStr">
        <is>
          <t>Masked Person 34</t>
        </is>
      </c>
      <c r="B28" s="145">
        <f>VLOOKUP(A28,E:E,1,0)</f>
        <v/>
      </c>
      <c r="C28" t="inlineStr">
        <is>
          <t>Staff/Assistant 1</t>
        </is>
      </c>
      <c r="D28" s="41" t="inlineStr">
        <is>
          <t>Sep 2026 - Jan 2027 - none
July 2026 - September 2026 Project F2 100% 
Jul - 21 Sep 2026 Client F 100%</t>
        </is>
      </c>
      <c r="E28" s="44" t="inlineStr">
        <is>
          <t>Masked Person 33</t>
        </is>
      </c>
    </row>
    <row r="29" ht="87" customHeight="1" s="350">
      <c r="A29" s="25" t="inlineStr">
        <is>
          <t>Masked Person 35</t>
        </is>
      </c>
      <c r="B29" s="145">
        <f>VLOOKUP(A29,E:E,1,0)</f>
        <v/>
      </c>
      <c r="C29" t="inlineStr">
        <is>
          <t>Senior 2</t>
        </is>
      </c>
      <c r="D29" s="41" t="inlineStr">
        <is>
          <t>Client L LR (Masked Person 24), Project C4 (Masked Person 42/Masked Person 40), Client AF (Masked Person 29)
Client E (Masked Person 17/Masked Person 42/Masked Person 29) - hands on to experiment with prototype AI solution - assessed component for tender submission</t>
        </is>
      </c>
      <c r="E29" s="44" t="inlineStr">
        <is>
          <t>Masked Person 46</t>
        </is>
      </c>
    </row>
    <row r="30" ht="72.5" customHeight="1" s="350">
      <c r="A30" s="25" t="inlineStr">
        <is>
          <t>Masked Person 38</t>
        </is>
      </c>
      <c r="B30" s="145">
        <f>VLOOKUP(A30,E:E,1,0)</f>
        <v/>
      </c>
      <c r="C30" t="inlineStr">
        <is>
          <t>Staff/Assistant 2</t>
        </is>
      </c>
      <c r="D30" s="41" t="inlineStr">
        <is>
          <t>On bench (27 Jul)
Short listed for Client AB, Client M first round.
Jul26-Jan27, 100% for Client C Enhancement and Investigation Assistant</t>
        </is>
      </c>
      <c r="E30" s="44" t="inlineStr">
        <is>
          <t>Masked Person 53</t>
        </is>
      </c>
    </row>
    <row r="31" ht="43.5" customHeight="1" s="350">
      <c r="A31" s="25" t="inlineStr">
        <is>
          <t>Masked Person 39</t>
        </is>
      </c>
      <c r="B31" s="145">
        <f>VLOOKUP(A31,E:E,1,0)</f>
        <v/>
      </c>
      <c r="C31" t="inlineStr">
        <is>
          <t>Senior 1</t>
        </is>
      </c>
      <c r="D31" s="41" t="inlineStr">
        <is>
          <t>Sep 2026 - Jan 2027 - none
Jul - Aug 2026 - Client F 100%
Profile has been submitted for Client AB.</t>
        </is>
      </c>
      <c r="E31" s="44" t="inlineStr">
        <is>
          <t>Masked Person 63</t>
        </is>
      </c>
    </row>
    <row r="32">
      <c r="A32" t="inlineStr">
        <is>
          <t>Masked Person 41</t>
        </is>
      </c>
      <c r="B32" s="145">
        <f>VLOOKUP(A32,E:E,1,0)</f>
        <v/>
      </c>
      <c r="C32" t="inlineStr">
        <is>
          <t>Intern (CS) 1</t>
        </is>
      </c>
      <c r="D32" s="123" t="inlineStr">
        <is>
          <t>Pending for Client D till Dec</t>
        </is>
      </c>
      <c r="E32" s="44" t="inlineStr">
        <is>
          <t>Masked Person 71</t>
        </is>
      </c>
    </row>
    <row r="33" ht="43.5" customHeight="1" s="350">
      <c r="A33" t="inlineStr">
        <is>
          <t>Masked Person 44</t>
        </is>
      </c>
      <c r="B33" s="145">
        <f>VLOOKUP(A33,E:E,1,0)</f>
        <v/>
      </c>
      <c r="C33" t="inlineStr">
        <is>
          <t>Intern (CS) 1</t>
        </is>
      </c>
      <c r="D33" s="41" t="inlineStr">
        <is>
          <t>July - Jan 2027 - Platform C1 100%
June 2026 - Apr 2027 Client C 100%
Internship until 30 Apr 2027</t>
        </is>
      </c>
      <c r="E33" s="44" t="inlineStr">
        <is>
          <t>Masked Person 81</t>
        </is>
      </c>
    </row>
    <row r="34" ht="58" customHeight="1" s="350">
      <c r="A34" t="inlineStr">
        <is>
          <t>Masked Person 45</t>
        </is>
      </c>
      <c r="B34" s="145">
        <f>VLOOKUP(A34,E:E,1,0)</f>
        <v/>
      </c>
      <c r="C34" t="inlineStr">
        <is>
          <t>Intern (CS) 1</t>
        </is>
      </c>
      <c r="D34" s="124" t="inlineStr">
        <is>
          <t>Jul - Aug 2026 - Client I 100%, Sep - Dec 2026 Client J 100%
May - Aug 14 2026 - Client I 100%
Internship ending Mid Sep26</t>
        </is>
      </c>
      <c r="E34" s="44" t="inlineStr">
        <is>
          <t>Masked Person 90</t>
        </is>
      </c>
    </row>
    <row r="35" ht="29" customHeight="1" s="350">
      <c r="A35" t="inlineStr">
        <is>
          <t>Masked Person 46</t>
        </is>
      </c>
      <c r="B35" s="145">
        <f>VLOOKUP(A35,E:E,1,0)</f>
        <v/>
      </c>
      <c r="C35" t="inlineStr">
        <is>
          <t>Senior 3</t>
        </is>
      </c>
      <c r="D35" s="41" t="inlineStr">
        <is>
          <t>May - Jan 2027 - Client B System B1
Jan - Dec 2026 Client B 100%</t>
        </is>
      </c>
      <c r="E35" s="44" t="inlineStr">
        <is>
          <t>Masked Person 95</t>
        </is>
      </c>
    </row>
    <row r="36" ht="15" customHeight="1" s="350" thickBot="1">
      <c r="A36" t="inlineStr">
        <is>
          <t>Masked Person 47</t>
        </is>
      </c>
      <c r="B36" s="145">
        <f>VLOOKUP(A36,E:E,1,0)</f>
        <v/>
      </c>
      <c r="C36" t="inlineStr">
        <is>
          <t>Staff/Assistant 2</t>
        </is>
      </c>
      <c r="D36" s="123" t="inlineStr">
        <is>
          <t>Jan 2026 - Oct 2026 Client E 100%</t>
        </is>
      </c>
      <c r="E36" s="84" t="n"/>
    </row>
    <row r="37" ht="29" customHeight="1" s="350">
      <c r="A37" t="inlineStr">
        <is>
          <t>Masked Person 49</t>
        </is>
      </c>
      <c r="B37" s="145">
        <f>VLOOKUP(A37,E:E,1,0)</f>
        <v/>
      </c>
      <c r="C37" t="inlineStr">
        <is>
          <t>Intern (CS) 1</t>
        </is>
      </c>
      <c r="D37" s="41" t="inlineStr">
        <is>
          <t>May 2026 - Apr 2027 - Client A 100%
Internship until April 2027</t>
        </is>
      </c>
      <c r="E37" s="45" t="inlineStr">
        <is>
          <t>Masked Person 22</t>
        </is>
      </c>
    </row>
    <row r="38" ht="29" customHeight="1" s="350">
      <c r="A38" s="96" t="inlineStr">
        <is>
          <t>Masked Person 50</t>
        </is>
      </c>
      <c r="B38" s="145">
        <f>VLOOKUP(A38,E:E,1,0)</f>
        <v/>
      </c>
      <c r="C38" t="inlineStr">
        <is>
          <t>Senior 3</t>
        </is>
      </c>
      <c r="D38" s="125" t="inlineStr">
        <is>
          <t>Aug 2026 - Client C 20%
Aug 2026 - Client A 10%</t>
        </is>
      </c>
      <c r="E38" s="44" t="inlineStr">
        <is>
          <t>Masked Person 41</t>
        </is>
      </c>
    </row>
    <row r="39" ht="58" customHeight="1" s="350">
      <c r="A39" t="inlineStr">
        <is>
          <t>Masked Person 52</t>
        </is>
      </c>
      <c r="B39" s="145">
        <f>VLOOKUP(A39,E:E,1,0)</f>
        <v/>
      </c>
      <c r="C39" t="inlineStr">
        <is>
          <t>Staff/Assistant 2</t>
        </is>
      </c>
      <c r="D39" s="126" t="inlineStr">
        <is>
          <t>Aug - Jan 2027 - Platform C1 - Implementation Release 2 and 3 ENG-014 100% 
Jul2026-Jul2030, 100% for Platform C1</t>
        </is>
      </c>
      <c r="E39" s="44" t="inlineStr">
        <is>
          <t>Masked Person 73</t>
        </is>
      </c>
    </row>
    <row r="40" ht="29.5" customHeight="1" s="350" thickBot="1">
      <c r="A40" t="inlineStr">
        <is>
          <t>Masked Person 53</t>
        </is>
      </c>
      <c r="B40" s="145">
        <f>VLOOKUP(A40,E:E,1,0)</f>
        <v/>
      </c>
      <c r="C40" t="inlineStr">
        <is>
          <t>Senior 1</t>
        </is>
      </c>
      <c r="D40" s="41" t="inlineStr">
        <is>
          <t>Jul 2026 - Jan 2027 - Client B 100%
Jan - Dec 2026 Client B 100%</t>
        </is>
      </c>
      <c r="E40" s="84" t="n"/>
    </row>
    <row r="41">
      <c r="A41" t="inlineStr">
        <is>
          <t>Masked Person 55</t>
        </is>
      </c>
      <c r="B41" s="145">
        <f>VLOOKUP(A41,E:E,1,0)</f>
        <v/>
      </c>
      <c r="C41" t="inlineStr">
        <is>
          <t>Manager 3</t>
        </is>
      </c>
      <c r="D41" s="123" t="inlineStr">
        <is>
          <t>Jan - Oct 2026 - Platform C1 60%</t>
        </is>
      </c>
      <c r="E41" s="45" t="inlineStr">
        <is>
          <t>Masked Person 34</t>
        </is>
      </c>
    </row>
    <row r="42">
      <c r="A42" t="inlineStr">
        <is>
          <t>Masked Person 57</t>
        </is>
      </c>
      <c r="B42" s="145">
        <f>VLOOKUP(A42,E:E,1,0)</f>
        <v/>
      </c>
      <c r="C42" t="inlineStr">
        <is>
          <t>Manager 3</t>
        </is>
      </c>
      <c r="D42" s="123" t="inlineStr">
        <is>
          <t>August 2026 - April 2027 - Project K1 100%</t>
        </is>
      </c>
      <c r="E42" s="44" t="inlineStr">
        <is>
          <t>Masked Person 60</t>
        </is>
      </c>
    </row>
    <row r="43">
      <c r="A43" t="inlineStr">
        <is>
          <t>Masked Person 59</t>
        </is>
      </c>
      <c r="B43" s="145">
        <f>VLOOKUP(A43,E:E,1,0)</f>
        <v/>
      </c>
      <c r="C43" t="inlineStr">
        <is>
          <t>Staff/Assistant 2</t>
        </is>
      </c>
      <c r="D43" s="122" t="inlineStr">
        <is>
          <t>Jan - Dec 2026 - Client A 100%</t>
        </is>
      </c>
      <c r="E43" s="44" t="inlineStr">
        <is>
          <t>Masked Person 64</t>
        </is>
      </c>
    </row>
    <row r="44">
      <c r="A44" t="inlineStr">
        <is>
          <t>Masked Person 60</t>
        </is>
      </c>
      <c r="B44" s="145">
        <f>VLOOKUP(A44,E:E,1,0)</f>
        <v/>
      </c>
      <c r="C44" t="inlineStr">
        <is>
          <t>Manager 1</t>
        </is>
      </c>
      <c r="D44" s="122" t="inlineStr">
        <is>
          <t>Sep 2026 - Jan 2027 - none (TBD)
July 2026 - Aug 2026 - Project F2 100%
Jan - Jul 2026 Client C 100%
Jul - Oct 2026 Client C 50%</t>
        </is>
      </c>
      <c r="E44" s="44" t="inlineStr">
        <is>
          <t>Masked Person 68</t>
        </is>
      </c>
    </row>
    <row r="45" ht="29.5" customHeight="1" s="350" thickBot="1">
      <c r="A45" s="148" t="inlineStr">
        <is>
          <t>Masked Person 62</t>
        </is>
      </c>
      <c r="B45" s="145">
        <f>VLOOKUP(A45,E:E,1,0)</f>
        <v/>
      </c>
      <c r="C45" s="148" t="inlineStr">
        <is>
          <t>Intern (CS) 1</t>
        </is>
      </c>
      <c r="D45" s="149" t="inlineStr">
        <is>
          <t>Jan - July 2026 - Client C
Internship until 31 July</t>
        </is>
      </c>
      <c r="E45" s="84" t="n"/>
    </row>
    <row r="46">
      <c r="A46" t="inlineStr">
        <is>
          <t>Masked Person 63</t>
        </is>
      </c>
      <c r="B46" s="145">
        <f>VLOOKUP(A46,E:E,1,0)</f>
        <v/>
      </c>
      <c r="C46" t="inlineStr">
        <is>
          <t>Staff/Assistant 2</t>
        </is>
      </c>
      <c r="D46" s="123" t="inlineStr">
        <is>
          <t>Jan - Dec 2026 Client B 100%</t>
        </is>
      </c>
      <c r="E46" s="45" t="inlineStr">
        <is>
          <t>Masked Person 15</t>
        </is>
      </c>
    </row>
    <row r="47" ht="43.5" customHeight="1" s="350">
      <c r="A47" t="inlineStr">
        <is>
          <t>Masked Person 64</t>
        </is>
      </c>
      <c r="B47" s="145">
        <f>VLOOKUP(A47,E:E,1,0)</f>
        <v/>
      </c>
      <c r="C47" t="inlineStr">
        <is>
          <t>Intern (CS) 1</t>
        </is>
      </c>
      <c r="D47" s="41" t="inlineStr">
        <is>
          <t>June 2026 - Client I 100%
June - Sept2026 - Client F 100%
Internship until 11 Dec</t>
        </is>
      </c>
      <c r="E47" s="44" t="inlineStr">
        <is>
          <t>Masked Person 19</t>
        </is>
      </c>
    </row>
    <row r="48">
      <c r="A48" s="145" t="inlineStr">
        <is>
          <t>Masked Person 66</t>
        </is>
      </c>
      <c r="B48" s="145">
        <f>VLOOKUP(A48,E:E,1,0)</f>
        <v/>
      </c>
      <c r="C48" s="145" t="inlineStr">
        <is>
          <t>Intern (CS) 1</t>
        </is>
      </c>
      <c r="D48" s="150" t="inlineStr">
        <is>
          <t>July - December 2026 - Client G
Mar - Aug 2026 - Client G
Internship until 7 Aug</t>
        </is>
      </c>
      <c r="E48" s="44" t="inlineStr">
        <is>
          <t>Masked Person 25</t>
        </is>
      </c>
    </row>
    <row r="49" ht="29" customHeight="1" s="350">
      <c r="A49" t="inlineStr">
        <is>
          <t>Masked Person 67</t>
        </is>
      </c>
      <c r="B49" s="145">
        <f>VLOOKUP(A49,E:E,1,0)</f>
        <v/>
      </c>
      <c r="C49" t="inlineStr">
        <is>
          <t>Intern (CS) 1</t>
        </is>
      </c>
      <c r="D49" s="41" t="inlineStr">
        <is>
          <t>May 2026 - Apr 2027 - Client A 100%
Internship until April 2027</t>
        </is>
      </c>
      <c r="E49" s="44" t="inlineStr">
        <is>
          <t>Masked Person 45</t>
        </is>
      </c>
    </row>
    <row r="50" ht="102" customHeight="1" s="350" thickBot="1">
      <c r="A50" t="inlineStr">
        <is>
          <t>Masked Person 68</t>
        </is>
      </c>
      <c r="B50" s="145">
        <f>VLOOKUP(A50,E:E,1,0)</f>
        <v/>
      </c>
      <c r="C50" t="inlineStr">
        <is>
          <t>Manager 2</t>
        </is>
      </c>
      <c r="D50" s="41" t="inlineStr">
        <is>
          <t>Jul - Sept 2026 - Client F Project F2 75%, 
Jul - Sept 2026 - Client L 20%
Jul - Sept 2026 - Project I1 5%
Oct 2026 - Feb 2027 - Project I1 100%
100% allocated across Client C, Client B, Client AH, Client AI, Client AJ</t>
        </is>
      </c>
      <c r="E50" s="84" t="n"/>
    </row>
    <row r="51" ht="43.5" customHeight="1" s="350">
      <c r="A51" t="inlineStr">
        <is>
          <t>Masked Person 70</t>
        </is>
      </c>
      <c r="B51" s="145">
        <f>VLOOKUP(A51,E:E,1,0)</f>
        <v/>
      </c>
      <c r="C51" t="inlineStr">
        <is>
          <t>Staff/Assistant 2</t>
        </is>
      </c>
      <c r="D51" s="41" t="inlineStr">
        <is>
          <t>Jun - Dec 2026 - Client A Platform A1 Maintenance Phase 1 &amp;2 -100%
May - Dec 2026 - Client A 100%</t>
        </is>
      </c>
      <c r="E51" s="45" t="inlineStr">
        <is>
          <t>Masked Person 30</t>
        </is>
      </c>
    </row>
    <row r="52">
      <c r="A52" t="inlineStr">
        <is>
          <t>Masked Person 71</t>
        </is>
      </c>
      <c r="B52" s="145">
        <f>VLOOKUP(A52,E:E,1,0)</f>
        <v/>
      </c>
      <c r="C52" t="inlineStr">
        <is>
          <t>Senior 1</t>
        </is>
      </c>
      <c r="D52" s="123" t="inlineStr">
        <is>
          <t>Jul - Jan 2027 - Client B 100%</t>
        </is>
      </c>
      <c r="E52" s="44" t="inlineStr">
        <is>
          <t>Masked Person 60</t>
        </is>
      </c>
    </row>
    <row r="53">
      <c r="A53" t="inlineStr">
        <is>
          <t>Masked Person 72</t>
        </is>
      </c>
      <c r="B53" s="145">
        <f>VLOOKUP(A53,E:E,1,0)</f>
        <v/>
      </c>
      <c r="C53" t="inlineStr">
        <is>
          <t>Staff/Assistant 2</t>
        </is>
      </c>
      <c r="D53" s="123" t="inlineStr">
        <is>
          <t>Dec 2025 - end 2026 Client A100%</t>
        </is>
      </c>
      <c r="E53" s="44" t="inlineStr">
        <is>
          <t>Masked Person 44</t>
        </is>
      </c>
    </row>
    <row r="54" ht="29" customHeight="1" s="350">
      <c r="A54" t="inlineStr">
        <is>
          <t>Masked Person 73</t>
        </is>
      </c>
      <c r="B54" s="145">
        <f>VLOOKUP(A54,E:E,1,0)</f>
        <v/>
      </c>
      <c r="C54" t="inlineStr">
        <is>
          <t>Senior 2</t>
        </is>
      </c>
      <c r="D54" s="41" t="inlineStr">
        <is>
          <t>Jul 2026 - Jan 2027 - Client D 100%
Jan - Dec 2026 - Client D 100%</t>
        </is>
      </c>
      <c r="E54" s="44" t="inlineStr">
        <is>
          <t>Masked Person 52</t>
        </is>
      </c>
    </row>
    <row r="55" ht="29" customHeight="1" s="350">
      <c r="A55" t="inlineStr">
        <is>
          <t>Masked Person 76</t>
        </is>
      </c>
      <c r="B55" s="145">
        <f>VLOOKUP(A55,E:E,1,0)</f>
        <v/>
      </c>
      <c r="C55" t="inlineStr">
        <is>
          <t>Staff/Assistant 2</t>
        </is>
      </c>
      <c r="D55" s="41" t="inlineStr">
        <is>
          <t>Jul 2026 - Jan 2027 Client A GovCloud P3 100%
Jan 2026 - Dec 2026 Client A 100%</t>
        </is>
      </c>
      <c r="E55" s="44" t="inlineStr">
        <is>
          <t>Masked Person 55</t>
        </is>
      </c>
    </row>
    <row r="56">
      <c r="A56" t="inlineStr">
        <is>
          <t>Masked Person 78</t>
        </is>
      </c>
      <c r="B56" s="145">
        <f>VLOOKUP(A56,E:E,1,0)</f>
        <v/>
      </c>
      <c r="C56" t="inlineStr">
        <is>
          <t>Staff/Assistant 1</t>
        </is>
      </c>
      <c r="D56" s="127" t="inlineStr">
        <is>
          <t>Jan 2026 - Dec 2026 Client A 100%</t>
        </is>
      </c>
      <c r="E56" s="44" t="inlineStr">
        <is>
          <t>Masked Person 62</t>
        </is>
      </c>
    </row>
    <row r="57" ht="29.5" customHeight="1" s="350" thickBot="1">
      <c r="A57" t="inlineStr">
        <is>
          <t>Masked Person 79</t>
        </is>
      </c>
      <c r="B57" s="145">
        <f>VLOOKUP(A57,E:E,1,0)</f>
        <v/>
      </c>
      <c r="C57" t="inlineStr">
        <is>
          <t>Senior 3</t>
        </is>
      </c>
      <c r="D57" s="41" t="inlineStr">
        <is>
          <t>Aug 2026 - Jan 2027 - Client A 100%
Jan 2026 - Dec Client A 100%</t>
        </is>
      </c>
      <c r="E57" s="84" t="n"/>
    </row>
    <row r="58" ht="29.5" customHeight="1" s="350" thickBot="1">
      <c r="A58" t="inlineStr">
        <is>
          <t>Masked Person 80</t>
        </is>
      </c>
      <c r="B58" s="145">
        <f>VLOOKUP(A58,E:E,1,0)</f>
        <v/>
      </c>
      <c r="C58" t="inlineStr">
        <is>
          <t>Staff/Assistant 1</t>
        </is>
      </c>
      <c r="D58" s="41" t="inlineStr">
        <is>
          <t>July 2026 - Jan 2027 - Client A 100%
Jan - Dec 2026 - Client A 100%</t>
        </is>
      </c>
      <c r="E58" s="51" t="inlineStr">
        <is>
          <t>Masked Person 47</t>
        </is>
      </c>
    </row>
    <row r="59" ht="29.5" customHeight="1" s="350" thickBot="1">
      <c r="A59" t="inlineStr">
        <is>
          <t>Masked Person 81</t>
        </is>
      </c>
      <c r="B59" s="145">
        <f>VLOOKUP(A59,E:E,1,0)</f>
        <v/>
      </c>
      <c r="C59" t="inlineStr">
        <is>
          <t>Staff/Assistant 1</t>
        </is>
      </c>
      <c r="D59" s="41" t="inlineStr">
        <is>
          <t>July 2026 - Jan 2027 - System B1/Client B 100%
Jan 2026 - Dec 2026 Client B 100%</t>
        </is>
      </c>
      <c r="E59" s="50" t="n"/>
    </row>
    <row r="60" ht="43.5" customHeight="1" s="350">
      <c r="A60" s="58" t="inlineStr">
        <is>
          <t>Masked Person 83</t>
        </is>
      </c>
      <c r="B60" s="145">
        <f>VLOOKUP(A60,E:E,1,0)</f>
        <v/>
      </c>
      <c r="C60" t="inlineStr">
        <is>
          <t>Manager 2</t>
        </is>
      </c>
      <c r="D60" s="41" t="inlineStr">
        <is>
          <t>Aug 2026- Jan 2027
Currently on bench
Jan - June 2026 Client F 100%</t>
        </is>
      </c>
      <c r="E60" s="45" t="inlineStr">
        <is>
          <t>Masked Person 2</t>
        </is>
      </c>
    </row>
    <row r="61" ht="29" customHeight="1" s="350">
      <c r="A61" s="145" t="inlineStr">
        <is>
          <t>Masked Person 85</t>
        </is>
      </c>
      <c r="B61" s="145">
        <f>VLOOKUP(A61,E:E,1,0)</f>
        <v/>
      </c>
      <c r="C61" s="145" t="inlineStr">
        <is>
          <t>Intern (CS) 1</t>
        </is>
      </c>
      <c r="D61" s="151" t="inlineStr">
        <is>
          <t>Client R BD
Internship until 7 Aug</t>
        </is>
      </c>
      <c r="E61" s="44" t="inlineStr">
        <is>
          <t>Masked Person 4</t>
        </is>
      </c>
    </row>
    <row r="62" ht="43.5" customHeight="1" s="350">
      <c r="A62" t="inlineStr">
        <is>
          <t>Masked Person 87</t>
        </is>
      </c>
      <c r="B62" s="145">
        <f>VLOOKUP(A62,E:E,1,0)</f>
        <v/>
      </c>
      <c r="C62" t="inlineStr">
        <is>
          <t>Staff/Assistant 2</t>
        </is>
      </c>
      <c r="D62" s="41" t="inlineStr">
        <is>
          <t>Jul - Jan 2027 - Client A GovCloud Platform A1 Phase 4 100%
Jan - Dec 2026 Client A 100%</t>
        </is>
      </c>
      <c r="E62" s="44" t="inlineStr">
        <is>
          <t>Masked Person 66</t>
        </is>
      </c>
    </row>
    <row r="63" ht="29" customHeight="1" s="350">
      <c r="A63" t="inlineStr">
        <is>
          <t>Masked Person 89</t>
        </is>
      </c>
      <c r="B63" s="145">
        <f>VLOOKUP(A63,E:E,1,0)</f>
        <v/>
      </c>
      <c r="C63" t="inlineStr">
        <is>
          <t>Staff/Assistant 1</t>
        </is>
      </c>
      <c r="D63" s="41" t="inlineStr">
        <is>
          <t>Jan - Dec 2026 - Client A
Internship until 26 June</t>
        </is>
      </c>
      <c r="E63" s="44" t="inlineStr">
        <is>
          <t>Masked Person 92</t>
        </is>
      </c>
    </row>
    <row r="64" ht="29.5" customHeight="1" s="350" thickBot="1">
      <c r="A64" s="25" t="inlineStr">
        <is>
          <t>Masked Person 90</t>
        </is>
      </c>
      <c r="B64" s="145">
        <f>VLOOKUP(A64,E:E,1,0)</f>
        <v/>
      </c>
      <c r="C64" t="inlineStr">
        <is>
          <t>Intern (CS) 1</t>
        </is>
      </c>
      <c r="D64" s="124" t="inlineStr">
        <is>
          <t>Client B &amp; Client D
Internship ending 4Dec2026</t>
        </is>
      </c>
      <c r="E64" s="84" t="n"/>
    </row>
    <row r="65">
      <c r="A65" t="inlineStr">
        <is>
          <t>Masked Person 91</t>
        </is>
      </c>
      <c r="B65" s="145">
        <f>VLOOKUP(A65,E:E,1,0)</f>
        <v/>
      </c>
      <c r="C65" t="inlineStr">
        <is>
          <t>Staff/Assistant 2</t>
        </is>
      </c>
      <c r="D65" s="123" t="inlineStr">
        <is>
          <t>Apr 2026 - Apr 2027 - Client M</t>
        </is>
      </c>
      <c r="E65" s="359" t="inlineStr">
        <is>
          <t>Masked Person 6</t>
        </is>
      </c>
    </row>
    <row r="66" ht="15" customHeight="1" s="350" thickBot="1">
      <c r="A66" t="inlineStr">
        <is>
          <t>Masked Person 92</t>
        </is>
      </c>
      <c r="B66" s="145">
        <f>VLOOKUP(A66,E:E,1,0)</f>
        <v/>
      </c>
      <c r="C66" t="inlineStr">
        <is>
          <t>Staff/Assistant 1</t>
        </is>
      </c>
      <c r="D66" s="122" t="inlineStr">
        <is>
          <t>July 2026 - Jan 2027 - Client G 100%
Mar - June 2026 - Client G 50%
July - Dec 2026 - Client A 100%</t>
        </is>
      </c>
      <c r="E66" s="48" t="n"/>
    </row>
    <row r="67" ht="29.5" customHeight="1" s="350" thickBot="1">
      <c r="A67" t="inlineStr">
        <is>
          <t>Masked Person 93</t>
        </is>
      </c>
      <c r="B67" s="145">
        <f>VLOOKUP(A67,E:E,1,0)</f>
        <v/>
      </c>
      <c r="C67" t="inlineStr">
        <is>
          <t>Intern (CS) 1</t>
        </is>
      </c>
      <c r="D67" s="41" t="inlineStr">
        <is>
          <t>May - Dec 2026 - Client A 100%
Internship until Dec 2026</t>
        </is>
      </c>
      <c r="E67" s="50" t="n"/>
    </row>
    <row r="68" ht="29.5" customHeight="1" s="350" thickBot="1">
      <c r="A68" t="inlineStr">
        <is>
          <t>Masked Person 95</t>
        </is>
      </c>
      <c r="B68" s="145">
        <f>VLOOKUP(A68,E:E,1,0)</f>
        <v/>
      </c>
      <c r="C68" t="inlineStr">
        <is>
          <t>Senior 1</t>
        </is>
      </c>
      <c r="D68" s="41" t="inlineStr">
        <is>
          <t>July - Jan 2027 - Client B 100%
Jan 2026 - Dec 2026 Client B 100%</t>
        </is>
      </c>
      <c r="E68" s="51" t="inlineStr">
        <is>
          <t>Masked Person 91</t>
        </is>
      </c>
    </row>
    <row r="69" ht="15" customHeight="1" s="350" thickBot="1">
      <c r="A69" t="inlineStr">
        <is>
          <t>Masked Person 96</t>
        </is>
      </c>
      <c r="B69" s="145">
        <f>VLOOKUP(A69,E:E,1,0)</f>
        <v/>
      </c>
      <c r="C69" t="inlineStr">
        <is>
          <t>Manager 3</t>
        </is>
      </c>
      <c r="D69" s="123" t="inlineStr">
        <is>
          <t>Aug 2026 - Apr 2027 Client A 100%</t>
        </is>
      </c>
      <c r="E69" s="50" t="n"/>
    </row>
    <row r="70" ht="15" customHeight="1" s="350" thickBot="1">
      <c r="B70" s="145" t="n"/>
      <c r="E70" s="51" t="inlineStr">
        <is>
          <t>Masked Person 26</t>
        </is>
      </c>
    </row>
    <row r="71" ht="15" customHeight="1" s="350" thickBot="1">
      <c r="E71" s="50" t="n"/>
    </row>
    <row r="72">
      <c r="E72" s="45" t="inlineStr">
        <is>
          <t>Masked Person 32</t>
        </is>
      </c>
    </row>
    <row r="73" ht="15" customHeight="1" s="350" thickBot="1">
      <c r="E73" s="115" t="inlineStr">
        <is>
          <t>Masked Person 6</t>
        </is>
      </c>
    </row>
    <row r="74" ht="15" customHeight="1" s="350" thickBot="1">
      <c r="E74" s="50" t="n"/>
    </row>
    <row r="75">
      <c r="E75" s="45" t="n"/>
    </row>
    <row r="76" ht="15" customHeight="1" s="350" thickBot="1">
      <c r="E76" s="48" t="n"/>
    </row>
    <row r="77" ht="15" customHeight="1" s="350" thickBot="1">
      <c r="E77" s="50" t="n"/>
    </row>
    <row r="78" ht="15" customHeight="1" s="350" thickBot="1">
      <c r="E78" s="114" t="inlineStr">
        <is>
          <t>Masked Person 57</t>
        </is>
      </c>
    </row>
  </sheetData>
  <pageMargins left="0.7" right="0.7" top="0.75" bottom="0.75" header="0.3" footer="0.3"/>
  <pageSetup orientation="portrait" paperSize="9" verticalDpi="0"/>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U11"/>
  <sheetViews>
    <sheetView workbookViewId="0">
      <selection activeCell="L14" sqref="L14"/>
    </sheetView>
  </sheetViews>
  <sheetFormatPr baseColWidth="8" defaultRowHeight="14.5"/>
  <sheetData>
    <row r="1" ht="58" customFormat="1" customHeight="1" s="2">
      <c r="A1" s="3" t="inlineStr">
        <is>
          <t>Employee name</t>
        </is>
      </c>
      <c r="B1" s="3" t="inlineStr">
        <is>
          <t>Rank and Grade</t>
        </is>
      </c>
      <c r="C1" s="3" t="inlineStr">
        <is>
          <t>Bench Category Column</t>
        </is>
      </c>
      <c r="D1" s="3" t="inlineStr">
        <is>
          <t>6 Weeks Forecast</t>
        </is>
      </c>
      <c r="E1" s="3" t="inlineStr">
        <is>
          <t>12 Weeks Forecast</t>
        </is>
      </c>
      <c r="F1" s="3" t="inlineStr">
        <is>
          <t>Current Week Forecast</t>
        </is>
      </c>
      <c r="G1" s="3" t="inlineStr">
        <is>
          <t>WC 30 Jun 2026</t>
        </is>
      </c>
      <c r="H1" s="3" t="inlineStr">
        <is>
          <t>WC 7 Jul 2026</t>
        </is>
      </c>
      <c r="I1" s="3" t="inlineStr">
        <is>
          <t>WC 14 Jul 2026</t>
        </is>
      </c>
      <c r="J1" s="3" t="inlineStr">
        <is>
          <t>WC 22 Jul 2026</t>
        </is>
      </c>
      <c r="K1" s="3" t="inlineStr">
        <is>
          <t>WC 29 Jul 2026</t>
        </is>
      </c>
      <c r="L1" s="3" t="inlineStr">
        <is>
          <t>WC 5 Aug 2026</t>
        </is>
      </c>
      <c r="M1" s="3" t="inlineStr">
        <is>
          <t>WC 12 Aug 2026</t>
        </is>
      </c>
      <c r="N1" s="4" t="inlineStr">
        <is>
          <t>Allocation</t>
        </is>
      </c>
      <c r="O1" s="5" t="inlineStr">
        <is>
          <t>Nationality</t>
        </is>
      </c>
      <c r="P1" s="5" t="inlineStr">
        <is>
          <t>Previous/Existing Project Roles</t>
        </is>
      </c>
      <c r="Q1" s="5" t="inlineStr">
        <is>
          <t>Primary Skillset (Platform)</t>
        </is>
      </c>
      <c r="R1" s="6" t="inlineStr">
        <is>
          <t>Secondary Skillset</t>
        </is>
      </c>
      <c r="S1" s="5" t="inlineStr">
        <is>
          <t>Aspiring roles</t>
        </is>
      </c>
      <c r="T1" s="7" t="inlineStr">
        <is>
          <t>Current Engagement</t>
        </is>
      </c>
      <c r="U1" s="7" t="inlineStr">
        <is>
          <t>EM</t>
        </is>
      </c>
    </row>
    <row r="2">
      <c r="A2" t="inlineStr">
        <is>
          <t>Masked Person 1</t>
        </is>
      </c>
      <c r="B2" t="inlineStr">
        <is>
          <t>Senior Manager 1</t>
        </is>
      </c>
      <c r="C2" t="inlineStr">
        <is>
          <t>Coming on bench in 24 week(s)</t>
        </is>
      </c>
      <c r="D2" s="14" t="n">
        <v>0.386632166666667</v>
      </c>
      <c r="E2" s="14" t="n">
        <v>0.386649583333333</v>
      </c>
      <c r="F2" s="14" t="n">
        <v>0.386667</v>
      </c>
      <c r="G2" s="14" t="n">
        <v>0.386667</v>
      </c>
      <c r="H2" s="14" t="n">
        <v>0.386667</v>
      </c>
      <c r="I2" s="14" t="n">
        <v>0.386667</v>
      </c>
      <c r="J2" s="14" t="n">
        <v>0.386458</v>
      </c>
      <c r="K2" s="14" t="n">
        <v>0.386667</v>
      </c>
      <c r="L2" s="14" t="n">
        <v>0.386667</v>
      </c>
      <c r="M2" s="14" t="n">
        <v>0.386667</v>
      </c>
      <c r="N2" s="15" t="inlineStr">
        <is>
          <t>Jan - Dec 2026 - Client A 40%</t>
        </is>
      </c>
      <c r="O2" s="15" t="inlineStr">
        <is>
          <t>Singaporean</t>
        </is>
      </c>
      <c r="P2" s="15" t="n"/>
      <c r="Q2" s="15" t="n"/>
      <c r="R2" s="15" t="n"/>
      <c r="S2" s="15" t="n"/>
      <c r="T2" s="15" t="inlineStr">
        <is>
          <t>Client A - Platform A1 (GovCloud) - ENG-017</t>
        </is>
      </c>
      <c r="U2" s="15" t="inlineStr">
        <is>
          <t>Masked Person 1</t>
        </is>
      </c>
    </row>
    <row r="3">
      <c r="A3" t="inlineStr">
        <is>
          <t>Masked Person 11</t>
        </is>
      </c>
      <c r="B3" t="inlineStr">
        <is>
          <t>Senior Manager 1</t>
        </is>
      </c>
      <c r="C3" t="inlineStr">
        <is>
          <t>Benching for 1 week(s)</t>
        </is>
      </c>
      <c r="D3" s="14" t="n">
        <v>0</v>
      </c>
      <c r="E3" s="14" t="n">
        <v>0</v>
      </c>
      <c r="F3" s="14" t="n">
        <v>0</v>
      </c>
      <c r="G3" s="14" t="n">
        <v>0</v>
      </c>
      <c r="H3" s="14" t="n">
        <v>0</v>
      </c>
      <c r="I3" s="14" t="n">
        <v>0</v>
      </c>
      <c r="J3" s="14" t="n">
        <v>0</v>
      </c>
      <c r="K3" s="14" t="n">
        <v>0</v>
      </c>
      <c r="L3" s="14" t="n">
        <v>0</v>
      </c>
      <c r="M3" s="14" t="n">
        <v>0</v>
      </c>
      <c r="N3" s="15" t="inlineStr">
        <is>
          <t>Jan - Jun 2026 - Client D 60%</t>
        </is>
      </c>
      <c r="O3" s="15" t="inlineStr">
        <is>
          <t>PR (Malaysian)</t>
        </is>
      </c>
      <c r="P3" s="15" t="n"/>
      <c r="Q3" s="15" t="inlineStr">
        <is>
          <t>System Migration</t>
        </is>
      </c>
      <c r="R3" s="15" t="inlineStr">
        <is>
          <t>Data Architect</t>
        </is>
      </c>
      <c r="S3" s="15" t="inlineStr">
        <is>
          <t>AI Philosopist</t>
        </is>
      </c>
      <c r="T3" s="15" t="inlineStr">
        <is>
          <t>Client D - Platform D1 GovCloud Migration - Imp - ENG-007</t>
        </is>
      </c>
      <c r="U3" t="inlineStr">
        <is>
          <t>Masked Person 11</t>
        </is>
      </c>
    </row>
    <row r="4">
      <c r="A4" t="inlineStr">
        <is>
          <t>Masked Person 13</t>
        </is>
      </c>
      <c r="B4" t="inlineStr">
        <is>
          <t>Senior Manager 1</t>
        </is>
      </c>
      <c r="C4" t="inlineStr">
        <is>
          <t>Coming on bench in 42 week(s)</t>
        </is>
      </c>
      <c r="D4" s="14" t="n">
        <v>0.348936666666667</v>
      </c>
      <c r="E4" s="14" t="n">
        <v>0.279169333333333</v>
      </c>
      <c r="F4" s="14" t="n">
        <v>1.04661</v>
      </c>
      <c r="G4" s="14" t="n">
        <v>1.04661</v>
      </c>
      <c r="H4" s="14" t="n">
        <v>0.209402</v>
      </c>
      <c r="I4" s="14" t="n">
        <v>0.209402</v>
      </c>
      <c r="J4" s="14" t="n">
        <v>0.209402</v>
      </c>
      <c r="K4" s="14" t="n">
        <v>0.209402</v>
      </c>
      <c r="L4" s="14" t="n">
        <v>0.209402</v>
      </c>
      <c r="M4" s="14" t="n">
        <v>0.209402</v>
      </c>
      <c r="N4" s="15" t="inlineStr">
        <is>
          <t>Dec 2026 Client AE, Client A, Client E - Combined 100%</t>
        </is>
      </c>
      <c r="O4" s="15" t="inlineStr">
        <is>
          <t>EP (Indian)</t>
        </is>
      </c>
      <c r="P4" s="15" t="n"/>
      <c r="Q4" s="15" t="inlineStr">
        <is>
          <t xml:space="preserve">Project Management, Agile Delivery, Scrum </t>
        </is>
      </c>
      <c r="R4" s="15" t="inlineStr">
        <is>
          <t xml:space="preserve"> Data Governance </t>
        </is>
      </c>
      <c r="S4" s="15" t="inlineStr">
        <is>
          <t xml:space="preserve">AI Strategy and Governance </t>
        </is>
      </c>
      <c r="T4" s="15" t="inlineStr">
        <is>
          <t>Client C - Platform C1 - Implementation Release 2 and 3 - ENG-014</t>
        </is>
      </c>
      <c r="U4" t="inlineStr">
        <is>
          <t>Masked Person 61</t>
        </is>
      </c>
    </row>
    <row r="5">
      <c r="A5" t="inlineStr">
        <is>
          <t>Masked Person 16</t>
        </is>
      </c>
      <c r="B5" t="inlineStr">
        <is>
          <t>Senior Manager 3</t>
        </is>
      </c>
      <c r="C5" t="inlineStr">
        <is>
          <t>Benching for 1 week(s)</t>
        </is>
      </c>
      <c r="D5" s="14" t="n">
        <v>0</v>
      </c>
      <c r="E5" s="14" t="n">
        <v>0</v>
      </c>
      <c r="F5" s="14" t="n">
        <v>0</v>
      </c>
      <c r="G5" s="14" t="n">
        <v>0</v>
      </c>
      <c r="H5" s="14" t="n">
        <v>0</v>
      </c>
      <c r="I5" s="14" t="n">
        <v>0</v>
      </c>
      <c r="J5" s="14" t="n">
        <v>0</v>
      </c>
      <c r="K5" s="14" t="n">
        <v>0</v>
      </c>
      <c r="L5" s="14" t="n">
        <v>0</v>
      </c>
      <c r="M5" s="14" t="n">
        <v>0</v>
      </c>
      <c r="N5" s="17" t="n"/>
      <c r="O5" s="17" t="inlineStr">
        <is>
          <t>EP (Indian)</t>
        </is>
      </c>
      <c r="P5" s="17" t="inlineStr">
        <is>
          <t>Project Lead</t>
        </is>
      </c>
      <c r="Q5" s="17" t="inlineStr">
        <is>
          <t>Project Management, Business Analysis</t>
        </is>
      </c>
      <c r="R5" s="17" t="inlineStr">
        <is>
          <t>-</t>
        </is>
      </c>
      <c r="S5" s="17" t="inlineStr">
        <is>
          <t>-</t>
        </is>
      </c>
      <c r="T5" s="17" t="inlineStr">
        <is>
          <t>Client C - Platform C1 - Implementation Release 2 and 3 - ENG-014</t>
        </is>
      </c>
      <c r="U5" s="9" t="inlineStr">
        <is>
          <t>Masked Person 61</t>
        </is>
      </c>
    </row>
    <row r="6">
      <c r="A6" t="inlineStr">
        <is>
          <t>Masked Person 17</t>
        </is>
      </c>
      <c r="B6" t="inlineStr">
        <is>
          <t>Senior Manager 3</t>
        </is>
      </c>
      <c r="C6" t="inlineStr">
        <is>
          <t>Coming on bench in 16 week(s)</t>
        </is>
      </c>
      <c r="D6" s="14" t="n">
        <v>0.0490451166666667</v>
      </c>
      <c r="E6" s="14" t="n">
        <v>0.0480642083333333</v>
      </c>
      <c r="F6" s="14" t="n">
        <v>0.0470833</v>
      </c>
      <c r="G6" s="14" t="n">
        <v>0.0470833</v>
      </c>
      <c r="H6" s="14" t="n">
        <v>0.0470833</v>
      </c>
      <c r="I6" s="14" t="n">
        <v>0.0470833</v>
      </c>
      <c r="J6" s="14" t="n">
        <v>0.0588542</v>
      </c>
      <c r="K6" s="14" t="n">
        <v>0.0470833</v>
      </c>
      <c r="L6" s="14" t="n">
        <v>0.0470833</v>
      </c>
      <c r="M6" s="14" t="n">
        <v>0.0470833</v>
      </c>
      <c r="N6" s="17" t="n"/>
      <c r="O6" s="17" t="inlineStr">
        <is>
          <t>PR (Indian)</t>
        </is>
      </c>
      <c r="P6" s="17" t="n"/>
      <c r="Q6" s="17" t="inlineStr">
        <is>
          <t>AI Engineering, Solutions Development</t>
        </is>
      </c>
      <c r="R6" s="17" t="inlineStr">
        <is>
          <t>-</t>
        </is>
      </c>
      <c r="S6" s="17" t="inlineStr">
        <is>
          <t>-</t>
        </is>
      </c>
      <c r="T6" s="17" t="inlineStr">
        <is>
          <t>HOUSING &amp; DEVELOPMENT BOARD - Client E System E1 Support - ENG-005</t>
        </is>
      </c>
      <c r="U6" s="17" t="n"/>
    </row>
    <row r="7">
      <c r="A7" t="inlineStr">
        <is>
          <t>Masked Person 29</t>
        </is>
      </c>
      <c r="B7" t="inlineStr">
        <is>
          <t>Senior Manager 3</t>
        </is>
      </c>
      <c r="C7" t="inlineStr">
        <is>
          <t>Benching for 1 week(s)</t>
        </is>
      </c>
      <c r="D7" s="14" t="n">
        <v>0</v>
      </c>
      <c r="E7" s="14" t="n">
        <v>0</v>
      </c>
      <c r="F7" s="14" t="n">
        <v>0</v>
      </c>
      <c r="G7" s="14" t="n">
        <v>0</v>
      </c>
      <c r="H7" s="14" t="n">
        <v>0</v>
      </c>
      <c r="I7" s="14" t="n">
        <v>0</v>
      </c>
      <c r="J7" s="14" t="n">
        <v>0</v>
      </c>
      <c r="K7" s="14" t="n">
        <v>0</v>
      </c>
      <c r="L7" s="14" t="n">
        <v>0</v>
      </c>
      <c r="M7" s="14" t="n">
        <v>0</v>
      </c>
      <c r="N7" s="15" t="n"/>
      <c r="O7" s="15" t="inlineStr">
        <is>
          <t>EP (Indian)</t>
        </is>
      </c>
      <c r="P7" s="15" t="n"/>
      <c r="Q7" s="15" t="inlineStr">
        <is>
          <t>AI Scientist (Machine Learning, Computer Vision, Language AI, Generative AI, Agentic AI)</t>
        </is>
      </c>
      <c r="R7" s="15" t="inlineStr">
        <is>
          <t>AI Strategy &amp; Consulting</t>
        </is>
      </c>
      <c r="S7" s="15" t="inlineStr">
        <is>
          <t>AI Scientist (Machine Learning, Computer Vision, Language AI, Generative AI, Agentic AI)</t>
        </is>
      </c>
      <c r="T7" s="15" t="inlineStr">
        <is>
          <t>Client J Construction Analytics &amp; AI MVP
Client H Project H1 - ENG-020
Client I - AI Roadmap &amp; MVP Implementation - ENG-019</t>
        </is>
      </c>
      <c r="U7" s="15" t="inlineStr">
        <is>
          <t>Masked Person 29</t>
        </is>
      </c>
    </row>
    <row r="8">
      <c r="A8" t="inlineStr">
        <is>
          <t>Masked Person 37</t>
        </is>
      </c>
      <c r="B8" t="inlineStr">
        <is>
          <t>Senior Manager 3</t>
        </is>
      </c>
      <c r="C8" t="inlineStr">
        <is>
          <t>Coming on bench in 16 week(s)</t>
        </is>
      </c>
      <c r="D8" s="14" t="n">
        <v>0.2</v>
      </c>
      <c r="E8" s="14" t="n">
        <v>0.2</v>
      </c>
      <c r="F8" s="14" t="n">
        <v>0.2</v>
      </c>
      <c r="G8" s="14" t="n">
        <v>0.2</v>
      </c>
      <c r="H8" s="14" t="n">
        <v>0.2</v>
      </c>
      <c r="I8" s="14" t="n">
        <v>0.2</v>
      </c>
      <c r="J8" s="14" t="n">
        <v>0.2</v>
      </c>
      <c r="K8" s="14" t="n">
        <v>0.2</v>
      </c>
      <c r="L8" s="14" t="n">
        <v>0.2</v>
      </c>
      <c r="M8" s="14" t="n">
        <v>0.2</v>
      </c>
      <c r="N8" s="15" t="inlineStr">
        <is>
          <t>Client G</t>
        </is>
      </c>
      <c r="O8" s="15" t="inlineStr">
        <is>
          <t xml:space="preserve">PR </t>
        </is>
      </c>
      <c r="P8" s="15" t="n"/>
      <c r="Q8" s="15" t="n"/>
      <c r="R8" s="15" t="n"/>
      <c r="S8" s="15" t="n"/>
      <c r="T8" s="15" t="inlineStr">
        <is>
          <t>-</t>
        </is>
      </c>
      <c r="U8" s="15" t="n"/>
    </row>
    <row r="9">
      <c r="A9" t="inlineStr">
        <is>
          <t>Masked Person 40</t>
        </is>
      </c>
      <c r="B9" t="inlineStr">
        <is>
          <t>Senior Manager 3</t>
        </is>
      </c>
      <c r="C9" t="inlineStr">
        <is>
          <t>Benching for 1 week(s)</t>
        </is>
      </c>
      <c r="D9" s="14" t="n">
        <v>0</v>
      </c>
      <c r="E9" s="14" t="n">
        <v>0</v>
      </c>
      <c r="F9" s="14" t="n">
        <v>0</v>
      </c>
      <c r="G9" s="14" t="n">
        <v>0</v>
      </c>
      <c r="H9" s="14" t="n">
        <v>0</v>
      </c>
      <c r="I9" s="14" t="n">
        <v>0</v>
      </c>
      <c r="J9" s="14" t="n">
        <v>0</v>
      </c>
      <c r="K9" s="14" t="n">
        <v>0</v>
      </c>
      <c r="L9" s="14" t="n">
        <v>0</v>
      </c>
      <c r="M9" s="14" t="n">
        <v>0</v>
      </c>
      <c r="N9" s="17" t="inlineStr">
        <is>
          <t>Project C2</t>
        </is>
      </c>
      <c r="O9" s="17" t="inlineStr">
        <is>
          <t>EP (Indian)</t>
        </is>
      </c>
      <c r="P9" s="17" t="n"/>
      <c r="Q9" s="17" t="inlineStr">
        <is>
          <t>AI Platform, Data Platform, Strategy</t>
        </is>
      </c>
      <c r="R9" s="17" t="inlineStr">
        <is>
          <t>Data Processing with Azure, Databricks, Snowflake</t>
        </is>
      </c>
      <c r="S9" s="17" t="inlineStr">
        <is>
          <t>AI Engineering</t>
        </is>
      </c>
      <c r="T9" s="17" t="inlineStr">
        <is>
          <t>-</t>
        </is>
      </c>
      <c r="U9" s="17" t="n"/>
    </row>
    <row r="10">
      <c r="A10" t="inlineStr">
        <is>
          <t>Masked Person 61</t>
        </is>
      </c>
      <c r="B10" t="inlineStr">
        <is>
          <t>Senior Manager 3</t>
        </is>
      </c>
      <c r="C10" t="inlineStr">
        <is>
          <t>Benching for 1 week(s)</t>
        </is>
      </c>
      <c r="D10" s="14" t="n">
        <v>0</v>
      </c>
      <c r="E10" s="14" t="n">
        <v>0</v>
      </c>
      <c r="F10" s="14" t="n">
        <v>0</v>
      </c>
      <c r="G10" s="14" t="n">
        <v>0</v>
      </c>
      <c r="H10" s="14" t="n">
        <v>0</v>
      </c>
      <c r="I10" s="14" t="n">
        <v>0</v>
      </c>
      <c r="J10" s="14" t="n">
        <v>0</v>
      </c>
      <c r="K10" s="14" t="n">
        <v>0</v>
      </c>
      <c r="L10" s="14" t="n">
        <v>0</v>
      </c>
      <c r="M10" s="14" t="n">
        <v>0</v>
      </c>
      <c r="N10" s="17" t="inlineStr">
        <is>
          <t>Platform C1</t>
        </is>
      </c>
      <c r="O10" s="17" t="inlineStr">
        <is>
          <t>EP</t>
        </is>
      </c>
      <c r="P10" s="17" t="n"/>
      <c r="Q10" s="17" t="inlineStr">
        <is>
          <t>Project Management, Data Modeling, Data Governance, Pre-sales solution</t>
        </is>
      </c>
      <c r="R10" s="17" t="inlineStr">
        <is>
          <t>Solution  Architecture</t>
        </is>
      </c>
      <c r="S10" s="17" t="inlineStr">
        <is>
          <t>Data Practice management</t>
        </is>
      </c>
      <c r="T10" s="17" t="inlineStr">
        <is>
          <t>Client C - Platform C1 - Implementation Release 2 and 3 - ENG-014</t>
        </is>
      </c>
      <c r="U10" s="9" t="inlineStr">
        <is>
          <t>Masked Person 61</t>
        </is>
      </c>
    </row>
    <row r="11">
      <c r="A11" s="25" t="inlineStr">
        <is>
          <t>Masked Person 69</t>
        </is>
      </c>
      <c r="B11" t="inlineStr">
        <is>
          <t>Senior Manager 1</t>
        </is>
      </c>
      <c r="C11" t="inlineStr">
        <is>
          <t>Coming on bench in 24 week(s)</t>
        </is>
      </c>
      <c r="D11" s="14" t="n">
        <v>0.5</v>
      </c>
      <c r="E11" s="14" t="n">
        <v>0.5</v>
      </c>
      <c r="F11" s="14" t="n">
        <v>0.5</v>
      </c>
      <c r="G11" s="14" t="n">
        <v>0.5</v>
      </c>
      <c r="H11" s="14" t="n">
        <v>0.5</v>
      </c>
      <c r="I11" s="14" t="n">
        <v>0.5</v>
      </c>
      <c r="J11" s="14" t="n">
        <v>0.5</v>
      </c>
      <c r="K11" s="14" t="n">
        <v>0.5</v>
      </c>
      <c r="L11" s="14" t="n">
        <v>0.5</v>
      </c>
      <c r="M11" s="14" t="n">
        <v>0.5</v>
      </c>
      <c r="N11" s="15" t="inlineStr">
        <is>
          <t>100% allocated across Client C, Client B, Client A</t>
        </is>
      </c>
      <c r="O11" s="15" t="inlineStr">
        <is>
          <t>EP</t>
        </is>
      </c>
      <c r="P11" s="15" t="inlineStr">
        <is>
          <t>Architect</t>
        </is>
      </c>
      <c r="Q11" s="15" t="inlineStr">
        <is>
          <t>Infra, Cloud Infra, GovCloud</t>
        </is>
      </c>
      <c r="R11" s="15" t="inlineStr">
        <is>
          <t>DBA</t>
        </is>
      </c>
      <c r="S11" s="15" t="inlineStr">
        <is>
          <t>Enterprise Architect</t>
        </is>
      </c>
      <c r="T11" s="15" t="inlineStr">
        <is>
          <t>Client C - Platform C1 - Implementation Release 2 and 3 - ENG-014
Client A - Platform A1 (GovCloud) - ENG-017
Client B - System B1 SAS Upgrade - 3.5 - ENG-010</t>
        </is>
      </c>
      <c r="U11" s="15" t="n"/>
    </row>
  </sheetData>
  <conditionalFormatting sqref="D2:M11">
    <cfRule type="cellIs" priority="1" operator="lessThan" dxfId="3">
      <formula>0.29</formula>
    </cfRule>
    <cfRule type="cellIs" priority="2" operator="between" dxfId="2">
      <formula>0.3</formula>
      <formula>0.8999</formula>
    </cfRule>
    <cfRule type="cellIs" priority="3" operator="between" dxfId="1" stopIfTrue="1">
      <formula>0.7</formula>
      <formula>0.8</formula>
    </cfRule>
    <cfRule type="cellIs" priority="4" operator="greaterThanOrEqual" dxfId="0">
      <formula>0.9</formula>
    </cfRule>
  </conditionalFormatting>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Grayson Sutedjo</dc:creator>
  <dcterms:created xsi:type="dcterms:W3CDTF">2026-09-16T05:51:19.5009566Z</dcterms:created>
  <dcterms:modified xsi:type="dcterms:W3CDTF">2026-09-16T05:51:19.5009566Z</dcterms:modified>
  <lastModifiedBy>Grayson Sutedjo</lastModifiedBy>
</coreProperties>
</file>